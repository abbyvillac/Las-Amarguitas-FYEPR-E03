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abivi\Downloads\"/>
    </mc:Choice>
  </mc:AlternateContent>
  <xr:revisionPtr revIDLastSave="0" documentId="8_{F5395229-9AFF-4ED7-BF5C-F4E21D0EBEB4}" xr6:coauthVersionLast="47" xr6:coauthVersionMax="47" xr10:uidLastSave="{00000000-0000-0000-0000-000000000000}"/>
  <bookViews>
    <workbookView xWindow="0" yWindow="0" windowWidth="10245" windowHeight="10920" tabRatio="668" firstSheet="14" activeTab="14" xr2:uid="{F401F478-7542-4039-9DA4-040A9EADF8A5}"/>
    <workbookView xWindow="-120" yWindow="-120" windowWidth="20730" windowHeight="11160" firstSheet="12" activeTab="15" xr2:uid="{319A13BE-A952-422C-8CA2-73F60708FF64}"/>
  </bookViews>
  <sheets>
    <sheet name="DATOS" sheetId="25" r:id="rId1"/>
    <sheet name="CRONOGRAMA DE ACTIVIDADES" sheetId="11" r:id="rId2"/>
    <sheet name="ESTRUCTURA FINANCIERA" sheetId="8" r:id="rId3"/>
    <sheet name="CUADRO DE EGRESOS E INGRESOS" sheetId="9" r:id="rId4"/>
    <sheet name="COSTOS" sheetId="21" r:id="rId5"/>
    <sheet name="M. DE CALCULO DE GASTOS FIJOS" sheetId="23" r:id="rId6"/>
    <sheet name="M. DE CALCULO DE COSTOS VARIABL" sheetId="19" r:id="rId7"/>
    <sheet name="DEPRECIACIONES" sheetId="18" r:id="rId8"/>
    <sheet name="AMORTIZACIONES (4 AÑOS)" sheetId="28" r:id="rId9"/>
    <sheet name="PROYECCIONES EGRESOS E INGRESOS" sheetId="16" r:id="rId10"/>
    <sheet name="SENSIBILIDAD" sheetId="10" r:id="rId11"/>
    <sheet name="INGRESOS" sheetId="29" r:id="rId12"/>
    <sheet name="TIR - VAN" sheetId="22" r:id="rId13"/>
    <sheet name="Balanza Proforma" sheetId="17" r:id="rId14"/>
    <sheet name="Estados Financieros proyectados" sheetId="30" r:id="rId15"/>
    <sheet name="Estados Financieros " sheetId="27" r:id="rId16"/>
    <sheet name="CONCENTRADO DE SUELDOS" sheetId="26" r:id="rId17"/>
  </sheets>
  <externalReferences>
    <externalReference r:id="rId18"/>
  </externalReferences>
  <definedNames>
    <definedName name="CAJA_DE_CAPTACION">#REF!</definedName>
    <definedName name="LIN_DISTR_ELECT.">'[1]PRES 1'!#REF!</definedName>
    <definedName name="SUBEST_ELECTR">'[1]PRES 1'!#REF!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30" l="1"/>
  <c r="L13" i="30"/>
  <c r="J12" i="30"/>
  <c r="R20" i="23"/>
  <c r="G26" i="19"/>
  <c r="F35" i="19"/>
  <c r="F36" i="19"/>
  <c r="F37" i="19"/>
  <c r="F38" i="19"/>
  <c r="F40" i="19"/>
  <c r="F41" i="19"/>
  <c r="F42" i="19" s="1"/>
  <c r="A44" i="19"/>
  <c r="B44" i="19"/>
  <c r="C44" i="19"/>
  <c r="D44" i="19"/>
  <c r="E44" i="19"/>
  <c r="E45" i="19" s="1"/>
  <c r="H30" i="18"/>
  <c r="P20" i="21"/>
  <c r="J13" i="30"/>
  <c r="J17" i="30"/>
  <c r="N55" i="17"/>
  <c r="F88" i="17"/>
  <c r="D42" i="17"/>
  <c r="J42" i="17" s="1"/>
  <c r="E13" i="22"/>
  <c r="C102" i="21"/>
  <c r="D102" i="21"/>
  <c r="E102" i="21"/>
  <c r="F102" i="21"/>
  <c r="G102" i="21"/>
  <c r="H102" i="21"/>
  <c r="I102" i="21"/>
  <c r="J102" i="21"/>
  <c r="K102" i="21"/>
  <c r="L102" i="21"/>
  <c r="M102" i="21"/>
  <c r="B102" i="21"/>
  <c r="C99" i="21"/>
  <c r="D99" i="21"/>
  <c r="E99" i="21"/>
  <c r="F99" i="21"/>
  <c r="N99" i="21" s="1"/>
  <c r="G99" i="21"/>
  <c r="H99" i="21"/>
  <c r="I99" i="21"/>
  <c r="J99" i="21"/>
  <c r="K99" i="21"/>
  <c r="L99" i="21"/>
  <c r="M99" i="21"/>
  <c r="C98" i="21"/>
  <c r="D98" i="21"/>
  <c r="E98" i="21"/>
  <c r="N98" i="21" s="1"/>
  <c r="F98" i="21"/>
  <c r="G98" i="21"/>
  <c r="H98" i="21"/>
  <c r="I98" i="21"/>
  <c r="J98" i="21"/>
  <c r="K98" i="21"/>
  <c r="L98" i="21"/>
  <c r="M98" i="21"/>
  <c r="B99" i="21"/>
  <c r="B98" i="21"/>
  <c r="B97" i="21"/>
  <c r="C10" i="21"/>
  <c r="D10" i="21"/>
  <c r="E10" i="21"/>
  <c r="F10" i="21"/>
  <c r="G10" i="21"/>
  <c r="H10" i="21"/>
  <c r="I10" i="21"/>
  <c r="J10" i="21"/>
  <c r="K10" i="21"/>
  <c r="L10" i="21"/>
  <c r="M10" i="21"/>
  <c r="B10" i="21"/>
  <c r="C9" i="21"/>
  <c r="D9" i="21"/>
  <c r="E9" i="21"/>
  <c r="F9" i="21"/>
  <c r="G9" i="21"/>
  <c r="H9" i="21"/>
  <c r="I9" i="21"/>
  <c r="J9" i="21"/>
  <c r="K9" i="21"/>
  <c r="L9" i="21"/>
  <c r="M9" i="21"/>
  <c r="B9" i="21"/>
  <c r="B30" i="21"/>
  <c r="B45" i="21" s="1"/>
  <c r="H35" i="27"/>
  <c r="H42" i="27"/>
  <c r="H39" i="27"/>
  <c r="H33" i="27"/>
  <c r="H32" i="27"/>
  <c r="E36" i="27"/>
  <c r="D41" i="17" s="1"/>
  <c r="J41" i="17" s="1"/>
  <c r="E13" i="30" s="1"/>
  <c r="C40" i="27"/>
  <c r="M15" i="17"/>
  <c r="Q7" i="17" s="1"/>
  <c r="M39" i="17" s="1"/>
  <c r="Q20" i="17" s="1"/>
  <c r="E15" i="16"/>
  <c r="E39" i="19"/>
  <c r="D39" i="19"/>
  <c r="C35" i="27"/>
  <c r="C34" i="27"/>
  <c r="D47" i="17"/>
  <c r="B49" i="17" s="1"/>
  <c r="E45" i="27"/>
  <c r="C38" i="27"/>
  <c r="C18" i="17" s="1"/>
  <c r="I18" i="17" s="1"/>
  <c r="C15" i="30" s="1"/>
  <c r="C39" i="27"/>
  <c r="H40" i="27"/>
  <c r="D18" i="23"/>
  <c r="E18" i="23"/>
  <c r="F18" i="23"/>
  <c r="H18" i="23" s="1"/>
  <c r="J18" i="23" s="1"/>
  <c r="L18" i="23" s="1"/>
  <c r="N18" i="23" s="1"/>
  <c r="P18" i="23" s="1"/>
  <c r="G18" i="23"/>
  <c r="I18" i="23" s="1"/>
  <c r="K18" i="23" s="1"/>
  <c r="M18" i="23" s="1"/>
  <c r="O18" i="23" s="1"/>
  <c r="Q18" i="23" s="1"/>
  <c r="D20" i="23"/>
  <c r="E20" i="23" s="1"/>
  <c r="E21" i="23" s="1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2" i="23"/>
  <c r="E12" i="23" s="1"/>
  <c r="G11" i="23"/>
  <c r="I11" i="23" s="1"/>
  <c r="F11" i="23"/>
  <c r="E11" i="23"/>
  <c r="A3" i="26"/>
  <c r="B30" i="18"/>
  <c r="E22" i="18"/>
  <c r="N20" i="21"/>
  <c r="N16" i="21"/>
  <c r="B11" i="29"/>
  <c r="H8" i="22"/>
  <c r="H13" i="22"/>
  <c r="A64" i="17"/>
  <c r="A65" i="17"/>
  <c r="A66" i="17"/>
  <c r="A67" i="17"/>
  <c r="A69" i="17"/>
  <c r="A71" i="17"/>
  <c r="A73" i="17"/>
  <c r="A76" i="17"/>
  <c r="A77" i="17"/>
  <c r="A79" i="17"/>
  <c r="A81" i="17"/>
  <c r="A82" i="17"/>
  <c r="A61" i="17"/>
  <c r="M30" i="17"/>
  <c r="N31" i="17" s="1"/>
  <c r="G28" i="17" s="1"/>
  <c r="M27" i="17"/>
  <c r="N28" i="17" s="1"/>
  <c r="G15" i="17" s="1"/>
  <c r="M6" i="17"/>
  <c r="M9" i="17" s="1"/>
  <c r="F25" i="17" s="1"/>
  <c r="D55" i="17"/>
  <c r="J55" i="17" s="1"/>
  <c r="E29" i="30" s="1"/>
  <c r="D52" i="17"/>
  <c r="J52" i="17" s="1"/>
  <c r="E26" i="30" s="1"/>
  <c r="D40" i="17"/>
  <c r="J40" i="17" s="1"/>
  <c r="E12" i="30" s="1"/>
  <c r="D43" i="17"/>
  <c r="J43" i="17" s="1"/>
  <c r="E15" i="30" s="1"/>
  <c r="D38" i="17"/>
  <c r="J38" i="17" s="1"/>
  <c r="E11" i="30" s="1"/>
  <c r="A56" i="17"/>
  <c r="A53" i="17"/>
  <c r="A54" i="17"/>
  <c r="A55" i="17"/>
  <c r="A52" i="17"/>
  <c r="A47" i="17"/>
  <c r="A40" i="17"/>
  <c r="A41" i="17"/>
  <c r="A42" i="17"/>
  <c r="A43" i="17"/>
  <c r="A44" i="17"/>
  <c r="A38" i="17"/>
  <c r="C24" i="17"/>
  <c r="I24" i="17" s="1"/>
  <c r="C25" i="17"/>
  <c r="C27" i="17"/>
  <c r="I27" i="17" s="1"/>
  <c r="C24" i="30" s="1"/>
  <c r="C23" i="17"/>
  <c r="I23" i="17" s="1"/>
  <c r="C7" i="17"/>
  <c r="C19" i="17"/>
  <c r="I19" i="17" s="1"/>
  <c r="C16" i="30" s="1"/>
  <c r="C20" i="17"/>
  <c r="I20" i="17" s="1"/>
  <c r="C17" i="30" s="1"/>
  <c r="C6" i="17"/>
  <c r="A33" i="17"/>
  <c r="A32" i="17"/>
  <c r="A28" i="17"/>
  <c r="A24" i="17"/>
  <c r="A27" i="17"/>
  <c r="A18" i="17"/>
  <c r="A19" i="17"/>
  <c r="A20" i="17"/>
  <c r="A7" i="17"/>
  <c r="A16" i="17"/>
  <c r="A17" i="17"/>
  <c r="I100" i="21" l="1"/>
  <c r="N100" i="21" s="1"/>
  <c r="B32" i="21"/>
  <c r="B21" i="17"/>
  <c r="Q8" i="17"/>
  <c r="C21" i="30"/>
  <c r="C11" i="30"/>
  <c r="C22" i="30"/>
  <c r="F84" i="17"/>
  <c r="F74" i="17"/>
  <c r="J18" i="30" s="1"/>
  <c r="I25" i="17"/>
  <c r="C23" i="30" s="1"/>
  <c r="N103" i="21"/>
  <c r="F8" i="17"/>
  <c r="F71" i="17"/>
  <c r="F77" i="17"/>
  <c r="J21" i="30" s="1"/>
  <c r="Q11" i="17"/>
  <c r="M45" i="17" s="1"/>
  <c r="F85" i="17" s="1"/>
  <c r="E13" i="23"/>
  <c r="K11" i="23"/>
  <c r="H11" i="23"/>
  <c r="N10" i="17"/>
  <c r="N7" i="17"/>
  <c r="B30" i="17"/>
  <c r="C37" i="27"/>
  <c r="C17" i="17" s="1"/>
  <c r="I17" i="17" s="1"/>
  <c r="C14" i="30" s="1"/>
  <c r="C36" i="27"/>
  <c r="C16" i="17" s="1"/>
  <c r="I16" i="17" s="1"/>
  <c r="C13" i="30" s="1"/>
  <c r="D15" i="16"/>
  <c r="M12" i="29"/>
  <c r="I14" i="29"/>
  <c r="K15" i="29"/>
  <c r="M16" i="29"/>
  <c r="E16" i="29"/>
  <c r="F16" i="29"/>
  <c r="G16" i="29"/>
  <c r="E15" i="29"/>
  <c r="F15" i="29"/>
  <c r="G15" i="29"/>
  <c r="E14" i="29"/>
  <c r="F14" i="29"/>
  <c r="G14" i="29"/>
  <c r="E13" i="29"/>
  <c r="F13" i="29"/>
  <c r="G13" i="29"/>
  <c r="E12" i="29"/>
  <c r="F12" i="29"/>
  <c r="G12" i="29"/>
  <c r="E11" i="29"/>
  <c r="F11" i="29"/>
  <c r="G11" i="29"/>
  <c r="D13" i="9"/>
  <c r="E13" i="9"/>
  <c r="C13" i="9"/>
  <c r="D11" i="29"/>
  <c r="M21" i="29"/>
  <c r="C21" i="29"/>
  <c r="D21" i="29"/>
  <c r="E21" i="29"/>
  <c r="F21" i="29"/>
  <c r="G21" i="29"/>
  <c r="H21" i="29"/>
  <c r="I21" i="29"/>
  <c r="J21" i="29"/>
  <c r="K21" i="29"/>
  <c r="L21" i="29"/>
  <c r="B21" i="29"/>
  <c r="E17" i="29"/>
  <c r="F13" i="9" s="1"/>
  <c r="F17" i="29"/>
  <c r="G13" i="9" s="1"/>
  <c r="T13" i="29"/>
  <c r="U13" i="29" s="1"/>
  <c r="V13" i="29" s="1"/>
  <c r="W13" i="29" s="1"/>
  <c r="X13" i="29" s="1"/>
  <c r="S10" i="29"/>
  <c r="T10" i="29" s="1"/>
  <c r="U10" i="29" s="1"/>
  <c r="V10" i="29" s="1"/>
  <c r="W10" i="29" s="1"/>
  <c r="X10" i="29" s="1"/>
  <c r="S11" i="29"/>
  <c r="T11" i="29" s="1"/>
  <c r="U11" i="29" s="1"/>
  <c r="V11" i="29" s="1"/>
  <c r="W11" i="29" s="1"/>
  <c r="X11" i="29" s="1"/>
  <c r="S12" i="29"/>
  <c r="T12" i="29" s="1"/>
  <c r="U12" i="29" s="1"/>
  <c r="V12" i="29" s="1"/>
  <c r="W12" i="29" s="1"/>
  <c r="X12" i="29" s="1"/>
  <c r="S13" i="29"/>
  <c r="S14" i="29"/>
  <c r="T14" i="29" s="1"/>
  <c r="U14" i="29" s="1"/>
  <c r="V14" i="29" s="1"/>
  <c r="W14" i="29" s="1"/>
  <c r="X14" i="29" s="1"/>
  <c r="S9" i="29"/>
  <c r="H11" i="29" s="1"/>
  <c r="P9" i="29" a="1"/>
  <c r="P9" i="29" s="1"/>
  <c r="C11" i="29"/>
  <c r="C12" i="29"/>
  <c r="D12" i="29"/>
  <c r="D17" i="29" s="1"/>
  <c r="C13" i="29"/>
  <c r="D13" i="29"/>
  <c r="C14" i="29"/>
  <c r="D14" i="29"/>
  <c r="C15" i="29"/>
  <c r="D15" i="29"/>
  <c r="C16" i="29"/>
  <c r="D16" i="29"/>
  <c r="B12" i="29"/>
  <c r="B13" i="29"/>
  <c r="B14" i="29"/>
  <c r="B15" i="29"/>
  <c r="B17" i="29" s="1"/>
  <c r="B16" i="29"/>
  <c r="C17" i="29"/>
  <c r="C15" i="16"/>
  <c r="B15" i="16"/>
  <c r="M24" i="17" s="1"/>
  <c r="D40" i="23"/>
  <c r="F20" i="23" s="1"/>
  <c r="D31" i="23"/>
  <c r="D32" i="23"/>
  <c r="T26" i="16"/>
  <c r="T32" i="16" s="1"/>
  <c r="D77" i="28"/>
  <c r="J75" i="28"/>
  <c r="B80" i="28"/>
  <c r="B79" i="28"/>
  <c r="B78" i="28"/>
  <c r="F77" i="28"/>
  <c r="F78" i="28"/>
  <c r="D12" i="28"/>
  <c r="D11" i="28"/>
  <c r="L16" i="29" l="1"/>
  <c r="J15" i="29"/>
  <c r="H14" i="29"/>
  <c r="L12" i="29"/>
  <c r="L11" i="29"/>
  <c r="I16" i="29"/>
  <c r="M14" i="29"/>
  <c r="K13" i="29"/>
  <c r="I12" i="29"/>
  <c r="T9" i="29"/>
  <c r="K11" i="29"/>
  <c r="H16" i="29"/>
  <c r="L14" i="29"/>
  <c r="J13" i="29"/>
  <c r="H12" i="29"/>
  <c r="J27" i="29"/>
  <c r="F24" i="29"/>
  <c r="J11" i="29"/>
  <c r="K16" i="29"/>
  <c r="M15" i="29"/>
  <c r="I15" i="29"/>
  <c r="K14" i="29"/>
  <c r="M13" i="29"/>
  <c r="I13" i="29"/>
  <c r="K12" i="29"/>
  <c r="M11" i="29"/>
  <c r="F23" i="29"/>
  <c r="M27" i="29"/>
  <c r="I26" i="29"/>
  <c r="E25" i="29"/>
  <c r="K23" i="29"/>
  <c r="F27" i="29"/>
  <c r="F25" i="29"/>
  <c r="I11" i="29"/>
  <c r="J16" i="29"/>
  <c r="L15" i="29"/>
  <c r="H15" i="29"/>
  <c r="J14" i="29"/>
  <c r="L13" i="29"/>
  <c r="L17" i="29" s="1"/>
  <c r="M13" i="9" s="1"/>
  <c r="H13" i="29"/>
  <c r="J12" i="29"/>
  <c r="I23" i="29"/>
  <c r="D28" i="29"/>
  <c r="L26" i="29"/>
  <c r="H25" i="29"/>
  <c r="D24" i="29"/>
  <c r="M42" i="17"/>
  <c r="G73" i="17"/>
  <c r="N25" i="17"/>
  <c r="G12" i="17" s="1"/>
  <c r="F47" i="17"/>
  <c r="G9" i="17"/>
  <c r="G47" i="17"/>
  <c r="N46" i="17"/>
  <c r="G77" i="17" s="1"/>
  <c r="I77" i="17" s="1"/>
  <c r="Q22" i="17"/>
  <c r="H36" i="27"/>
  <c r="Q12" i="23"/>
  <c r="M12" i="23"/>
  <c r="I12" i="23"/>
  <c r="I13" i="23" s="1"/>
  <c r="P12" i="23"/>
  <c r="L12" i="23"/>
  <c r="H12" i="23"/>
  <c r="O12" i="23"/>
  <c r="K12" i="23"/>
  <c r="K13" i="23" s="1"/>
  <c r="G12" i="23"/>
  <c r="G13" i="23" s="1"/>
  <c r="N12" i="23"/>
  <c r="J12" i="23"/>
  <c r="F12" i="23"/>
  <c r="F13" i="23" s="1"/>
  <c r="F21" i="23"/>
  <c r="H13" i="23"/>
  <c r="J11" i="23"/>
  <c r="M11" i="23"/>
  <c r="G17" i="29"/>
  <c r="H13" i="9" s="1"/>
  <c r="F80" i="28"/>
  <c r="F79" i="28"/>
  <c r="E77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10" i="28"/>
  <c r="B23" i="29" l="1"/>
  <c r="G24" i="29"/>
  <c r="K24" i="29"/>
  <c r="K29" i="29" s="1"/>
  <c r="L27" i="9" s="1"/>
  <c r="C26" i="29"/>
  <c r="G27" i="29"/>
  <c r="K28" i="29"/>
  <c r="C25" i="29"/>
  <c r="N25" i="29" s="1"/>
  <c r="G26" i="29"/>
  <c r="K27" i="29"/>
  <c r="D23" i="29"/>
  <c r="D29" i="29" s="1"/>
  <c r="E27" i="9" s="1"/>
  <c r="C24" i="29"/>
  <c r="G25" i="29"/>
  <c r="K26" i="29"/>
  <c r="C28" i="29"/>
  <c r="H23" i="29"/>
  <c r="K25" i="29"/>
  <c r="C27" i="29"/>
  <c r="N27" i="29" s="1"/>
  <c r="G28" i="29"/>
  <c r="L23" i="29"/>
  <c r="H24" i="29"/>
  <c r="L25" i="29"/>
  <c r="D27" i="29"/>
  <c r="H28" i="29"/>
  <c r="M23" i="29"/>
  <c r="J25" i="29"/>
  <c r="B28" i="29"/>
  <c r="N28" i="29" s="1"/>
  <c r="E24" i="29"/>
  <c r="I25" i="29"/>
  <c r="M26" i="29"/>
  <c r="E28" i="29"/>
  <c r="E29" i="29" s="1"/>
  <c r="F27" i="9" s="1"/>
  <c r="J23" i="29"/>
  <c r="B25" i="29"/>
  <c r="J28" i="29"/>
  <c r="L24" i="29"/>
  <c r="D26" i="29"/>
  <c r="H27" i="29"/>
  <c r="L28" i="29"/>
  <c r="B24" i="29"/>
  <c r="B29" i="29" s="1"/>
  <c r="C27" i="9" s="1"/>
  <c r="F26" i="29"/>
  <c r="F28" i="29"/>
  <c r="I24" i="29"/>
  <c r="M25" i="29"/>
  <c r="M29" i="29" s="1"/>
  <c r="N27" i="9" s="1"/>
  <c r="E27" i="29"/>
  <c r="I28" i="29"/>
  <c r="M17" i="29"/>
  <c r="N13" i="9" s="1"/>
  <c r="B26" i="29"/>
  <c r="G23" i="29"/>
  <c r="D25" i="29"/>
  <c r="H26" i="29"/>
  <c r="L27" i="29"/>
  <c r="E23" i="29"/>
  <c r="J24" i="29"/>
  <c r="J26" i="29"/>
  <c r="C23" i="29"/>
  <c r="C29" i="29" s="1"/>
  <c r="D27" i="9" s="1"/>
  <c r="M24" i="29"/>
  <c r="E26" i="29"/>
  <c r="I27" i="29"/>
  <c r="I29" i="29" s="1"/>
  <c r="J27" i="9" s="1"/>
  <c r="M28" i="29"/>
  <c r="U9" i="29"/>
  <c r="I36" i="29" s="1"/>
  <c r="B27" i="29"/>
  <c r="J17" i="29"/>
  <c r="K13" i="9" s="1"/>
  <c r="N26" i="29"/>
  <c r="K17" i="29"/>
  <c r="L13" i="9" s="1"/>
  <c r="E36" i="29"/>
  <c r="E37" i="29"/>
  <c r="I37" i="29"/>
  <c r="I38" i="29"/>
  <c r="M38" i="29"/>
  <c r="M39" i="29"/>
  <c r="E40" i="29"/>
  <c r="F35" i="29"/>
  <c r="B36" i="29"/>
  <c r="B37" i="29"/>
  <c r="F37" i="29"/>
  <c r="F38" i="29"/>
  <c r="J38" i="29"/>
  <c r="J39" i="29"/>
  <c r="B40" i="29"/>
  <c r="C35" i="29"/>
  <c r="G35" i="29"/>
  <c r="K36" i="29"/>
  <c r="G37" i="29"/>
  <c r="K38" i="29"/>
  <c r="G39" i="29"/>
  <c r="C40" i="29"/>
  <c r="H35" i="29"/>
  <c r="L35" i="29"/>
  <c r="C37" i="29"/>
  <c r="K39" i="29"/>
  <c r="D35" i="29"/>
  <c r="D37" i="29"/>
  <c r="H40" i="29"/>
  <c r="K35" i="29"/>
  <c r="D36" i="29"/>
  <c r="H37" i="29"/>
  <c r="D38" i="29"/>
  <c r="L38" i="29"/>
  <c r="D40" i="29"/>
  <c r="L40" i="29"/>
  <c r="I35" i="29"/>
  <c r="V9" i="29"/>
  <c r="G36" i="29"/>
  <c r="K37" i="29"/>
  <c r="G40" i="29"/>
  <c r="J35" i="29"/>
  <c r="H36" i="29"/>
  <c r="H38" i="29"/>
  <c r="L39" i="29"/>
  <c r="E35" i="29"/>
  <c r="N23" i="29"/>
  <c r="F29" i="29"/>
  <c r="G27" i="9" s="1"/>
  <c r="I17" i="29"/>
  <c r="J13" i="9" s="1"/>
  <c r="H17" i="29"/>
  <c r="I13" i="9" s="1"/>
  <c r="J29" i="29"/>
  <c r="K27" i="9" s="1"/>
  <c r="Q21" i="17"/>
  <c r="N43" i="17"/>
  <c r="J47" i="17"/>
  <c r="E21" i="30" s="1"/>
  <c r="E23" i="30" s="1"/>
  <c r="L11" i="23"/>
  <c r="J13" i="23"/>
  <c r="O11" i="23"/>
  <c r="M13" i="23"/>
  <c r="G77" i="28"/>
  <c r="C9" i="28"/>
  <c r="F9" i="28" s="1"/>
  <c r="G9" i="28" s="1"/>
  <c r="D9" i="28"/>
  <c r="H9" i="28" s="1"/>
  <c r="C10" i="28" s="1"/>
  <c r="F10" i="28" s="1"/>
  <c r="G10" i="28" s="1"/>
  <c r="H18" i="18"/>
  <c r="G23" i="18"/>
  <c r="G24" i="18"/>
  <c r="G25" i="18"/>
  <c r="G26" i="18"/>
  <c r="G27" i="18"/>
  <c r="G28" i="18"/>
  <c r="G29" i="18"/>
  <c r="G22" i="18"/>
  <c r="H22" i="18" s="1"/>
  <c r="G8" i="18"/>
  <c r="H9" i="22"/>
  <c r="M20" i="21"/>
  <c r="J18" i="19"/>
  <c r="D38" i="19"/>
  <c r="D37" i="19"/>
  <c r="E10" i="19"/>
  <c r="I9" i="28"/>
  <c r="I10" i="28" s="1"/>
  <c r="I11" i="28" s="1"/>
  <c r="I12" i="28" s="1"/>
  <c r="I13" i="28" s="1"/>
  <c r="I14" i="28" s="1"/>
  <c r="I15" i="28" s="1"/>
  <c r="I16" i="28" s="1"/>
  <c r="I17" i="28" s="1"/>
  <c r="I18" i="28" s="1"/>
  <c r="I19" i="28" s="1"/>
  <c r="I20" i="28" s="1"/>
  <c r="I21" i="28" s="1"/>
  <c r="I22" i="28" s="1"/>
  <c r="I23" i="28" s="1"/>
  <c r="I24" i="28" s="1"/>
  <c r="I25" i="28" s="1"/>
  <c r="I26" i="28" s="1"/>
  <c r="I27" i="28" s="1"/>
  <c r="I28" i="28" s="1"/>
  <c r="I29" i="28" s="1"/>
  <c r="I30" i="28" s="1"/>
  <c r="I31" i="28" s="1"/>
  <c r="I32" i="28" s="1"/>
  <c r="I33" i="28" s="1"/>
  <c r="I34" i="28" s="1"/>
  <c r="I35" i="28" s="1"/>
  <c r="I36" i="28" s="1"/>
  <c r="I37" i="28" s="1"/>
  <c r="I38" i="28" s="1"/>
  <c r="I39" i="28" s="1"/>
  <c r="I40" i="28" s="1"/>
  <c r="I41" i="28" s="1"/>
  <c r="I42" i="28" s="1"/>
  <c r="I43" i="28" s="1"/>
  <c r="I67" i="28"/>
  <c r="H65" i="28"/>
  <c r="K15" i="8"/>
  <c r="D25" i="19"/>
  <c r="D29" i="19" s="1"/>
  <c r="F13" i="18"/>
  <c r="F17" i="18"/>
  <c r="E17" i="18"/>
  <c r="G17" i="18" s="1"/>
  <c r="E16" i="18"/>
  <c r="F16" i="18" s="1"/>
  <c r="E15" i="18"/>
  <c r="G15" i="18" s="1"/>
  <c r="E14" i="18"/>
  <c r="H14" i="18" s="1"/>
  <c r="E13" i="18"/>
  <c r="G13" i="18" s="1"/>
  <c r="E12" i="18"/>
  <c r="F12" i="18" s="1"/>
  <c r="E11" i="18"/>
  <c r="H11" i="18" s="1"/>
  <c r="E10" i="18"/>
  <c r="H10" i="18" s="1"/>
  <c r="E9" i="18"/>
  <c r="G9" i="18" s="1"/>
  <c r="E8" i="18"/>
  <c r="H8" i="18" s="1"/>
  <c r="B18" i="18"/>
  <c r="F40" i="23"/>
  <c r="D38" i="23"/>
  <c r="D26" i="19"/>
  <c r="E26" i="19" s="1"/>
  <c r="D40" i="19"/>
  <c r="E31" i="23"/>
  <c r="E32" i="23"/>
  <c r="F28" i="26"/>
  <c r="G39" i="23"/>
  <c r="H39" i="23"/>
  <c r="I39" i="23"/>
  <c r="J39" i="23"/>
  <c r="K39" i="23"/>
  <c r="L39" i="23"/>
  <c r="M39" i="23"/>
  <c r="N39" i="23"/>
  <c r="O39" i="23"/>
  <c r="P39" i="23"/>
  <c r="Q39" i="23"/>
  <c r="F39" i="23"/>
  <c r="E39" i="23"/>
  <c r="E61" i="27"/>
  <c r="E62" i="27"/>
  <c r="E46" i="27"/>
  <c r="D53" i="17" s="1"/>
  <c r="J53" i="17" s="1"/>
  <c r="E27" i="30" s="1"/>
  <c r="C50" i="27"/>
  <c r="I36" i="27"/>
  <c r="E39" i="27"/>
  <c r="D44" i="17" s="1"/>
  <c r="J44" i="17" s="1"/>
  <c r="E16" i="30" s="1"/>
  <c r="H8" i="27"/>
  <c r="H9" i="27" s="1"/>
  <c r="K9" i="27"/>
  <c r="N9" i="27"/>
  <c r="X9" i="27" s="1"/>
  <c r="W9" i="27"/>
  <c r="K10" i="27"/>
  <c r="N10" i="27"/>
  <c r="W10" i="27" s="1"/>
  <c r="X10" i="27"/>
  <c r="L11" i="27"/>
  <c r="N11" i="27" s="1"/>
  <c r="E12" i="27"/>
  <c r="N13" i="27"/>
  <c r="W13" i="27" s="1"/>
  <c r="C51" i="27" s="1"/>
  <c r="D33" i="17" s="1"/>
  <c r="J33" i="17" s="1"/>
  <c r="C30" i="30" s="1"/>
  <c r="E18" i="27"/>
  <c r="C22" i="27"/>
  <c r="F4" i="26"/>
  <c r="A67" i="26"/>
  <c r="B67" i="26"/>
  <c r="C67" i="26"/>
  <c r="D67" i="26"/>
  <c r="E67" i="26"/>
  <c r="F67" i="26"/>
  <c r="A68" i="26"/>
  <c r="B68" i="26"/>
  <c r="D68" i="26"/>
  <c r="A69" i="26"/>
  <c r="B69" i="26"/>
  <c r="D69" i="26"/>
  <c r="A70" i="26"/>
  <c r="B70" i="26"/>
  <c r="D70" i="26"/>
  <c r="A71" i="26"/>
  <c r="B71" i="26"/>
  <c r="D71" i="26"/>
  <c r="A72" i="26"/>
  <c r="B72" i="26"/>
  <c r="D72" i="26"/>
  <c r="A73" i="26"/>
  <c r="B73" i="26"/>
  <c r="D73" i="26"/>
  <c r="A74" i="26"/>
  <c r="B74" i="26"/>
  <c r="D74" i="26"/>
  <c r="A75" i="26"/>
  <c r="B75" i="26"/>
  <c r="D75" i="26"/>
  <c r="A76" i="26"/>
  <c r="B76" i="26"/>
  <c r="D76" i="26"/>
  <c r="A77" i="26"/>
  <c r="B77" i="26"/>
  <c r="D77" i="26"/>
  <c r="A78" i="26"/>
  <c r="B78" i="26"/>
  <c r="D78" i="26"/>
  <c r="A79" i="26"/>
  <c r="B79" i="26"/>
  <c r="D79" i="26"/>
  <c r="A80" i="26"/>
  <c r="B80" i="26"/>
  <c r="D80" i="26"/>
  <c r="A81" i="26"/>
  <c r="B81" i="26"/>
  <c r="D81" i="26"/>
  <c r="A82" i="26"/>
  <c r="B82" i="26"/>
  <c r="D82" i="26"/>
  <c r="A86" i="26"/>
  <c r="B86" i="26"/>
  <c r="C86" i="26"/>
  <c r="D86" i="26"/>
  <c r="E86" i="26"/>
  <c r="A87" i="26"/>
  <c r="B87" i="26"/>
  <c r="D87" i="26"/>
  <c r="F87" i="26"/>
  <c r="H87" i="26"/>
  <c r="J87" i="26"/>
  <c r="A88" i="26"/>
  <c r="B88" i="26"/>
  <c r="D88" i="26"/>
  <c r="F88" i="26"/>
  <c r="H88" i="26"/>
  <c r="J88" i="26"/>
  <c r="A89" i="26"/>
  <c r="B89" i="26"/>
  <c r="D89" i="26"/>
  <c r="F89" i="26"/>
  <c r="H89" i="26"/>
  <c r="J89" i="26"/>
  <c r="A90" i="26"/>
  <c r="B90" i="26"/>
  <c r="D90" i="26"/>
  <c r="F90" i="26"/>
  <c r="H90" i="26"/>
  <c r="J90" i="26"/>
  <c r="A91" i="26"/>
  <c r="B91" i="26"/>
  <c r="D91" i="26"/>
  <c r="F91" i="26"/>
  <c r="H91" i="26"/>
  <c r="J91" i="26"/>
  <c r="A92" i="26"/>
  <c r="B92" i="26"/>
  <c r="D92" i="26"/>
  <c r="F92" i="26"/>
  <c r="H92" i="26"/>
  <c r="J92" i="26"/>
  <c r="A93" i="26"/>
  <c r="B93" i="26"/>
  <c r="D93" i="26"/>
  <c r="F93" i="26"/>
  <c r="H93" i="26"/>
  <c r="J93" i="26"/>
  <c r="A94" i="26"/>
  <c r="B94" i="26"/>
  <c r="D94" i="26"/>
  <c r="F94" i="26"/>
  <c r="H94" i="26"/>
  <c r="J94" i="26"/>
  <c r="A95" i="26"/>
  <c r="B95" i="26"/>
  <c r="D95" i="26"/>
  <c r="F95" i="26"/>
  <c r="H95" i="26"/>
  <c r="J95" i="26"/>
  <c r="A96" i="26"/>
  <c r="B96" i="26"/>
  <c r="D96" i="26"/>
  <c r="F96" i="26"/>
  <c r="H96" i="26"/>
  <c r="J96" i="26"/>
  <c r="L96" i="26"/>
  <c r="A97" i="26"/>
  <c r="B97" i="26"/>
  <c r="D97" i="26"/>
  <c r="F97" i="26"/>
  <c r="H97" i="26"/>
  <c r="J97" i="26"/>
  <c r="L97" i="26"/>
  <c r="A98" i="26"/>
  <c r="B98" i="26"/>
  <c r="D98" i="26"/>
  <c r="F98" i="26"/>
  <c r="H98" i="26"/>
  <c r="J98" i="26"/>
  <c r="L98" i="26"/>
  <c r="A99" i="26"/>
  <c r="B99" i="26"/>
  <c r="D99" i="26"/>
  <c r="F99" i="26"/>
  <c r="H99" i="26"/>
  <c r="J99" i="26"/>
  <c r="L99" i="26"/>
  <c r="A100" i="26"/>
  <c r="B100" i="26"/>
  <c r="D100" i="26"/>
  <c r="F100" i="26"/>
  <c r="H100" i="26"/>
  <c r="J100" i="26"/>
  <c r="L100" i="26"/>
  <c r="A101" i="26"/>
  <c r="B101" i="26"/>
  <c r="D101" i="26"/>
  <c r="F101" i="26"/>
  <c r="H101" i="26"/>
  <c r="J101" i="26"/>
  <c r="L101" i="26"/>
  <c r="L24" i="26"/>
  <c r="D28" i="26"/>
  <c r="E87" i="26"/>
  <c r="G87" i="26" s="1"/>
  <c r="I87" i="26" s="1"/>
  <c r="K87" i="26" s="1"/>
  <c r="M87" i="26" s="1"/>
  <c r="J28" i="26"/>
  <c r="K28" i="26"/>
  <c r="L28" i="26"/>
  <c r="F68" i="26" s="1"/>
  <c r="D29" i="26"/>
  <c r="F29" i="26"/>
  <c r="E88" i="26" s="1"/>
  <c r="G88" i="26" s="1"/>
  <c r="I88" i="26" s="1"/>
  <c r="K88" i="26" s="1"/>
  <c r="M88" i="26" s="1"/>
  <c r="J29" i="26"/>
  <c r="K29" i="26"/>
  <c r="E69" i="26" s="1"/>
  <c r="I69" i="26" s="1"/>
  <c r="L29" i="26"/>
  <c r="F69" i="26" s="1"/>
  <c r="D30" i="26"/>
  <c r="F30" i="26"/>
  <c r="E89" i="26" s="1"/>
  <c r="G89" i="26" s="1"/>
  <c r="I89" i="26" s="1"/>
  <c r="K89" i="26" s="1"/>
  <c r="M89" i="26" s="1"/>
  <c r="J30" i="26"/>
  <c r="K30" i="26"/>
  <c r="E70" i="26" s="1"/>
  <c r="I70" i="26" s="1"/>
  <c r="L30" i="26"/>
  <c r="F70" i="26" s="1"/>
  <c r="D31" i="26"/>
  <c r="F31" i="26"/>
  <c r="E90" i="26" s="1"/>
  <c r="G90" i="26" s="1"/>
  <c r="I90" i="26" s="1"/>
  <c r="K90" i="26" s="1"/>
  <c r="M90" i="26" s="1"/>
  <c r="J31" i="26"/>
  <c r="K31" i="26"/>
  <c r="E71" i="26" s="1"/>
  <c r="I71" i="26" s="1"/>
  <c r="L31" i="26"/>
  <c r="F71" i="26" s="1"/>
  <c r="D32" i="26"/>
  <c r="F32" i="26"/>
  <c r="E91" i="26" s="1"/>
  <c r="G91" i="26" s="1"/>
  <c r="I91" i="26" s="1"/>
  <c r="K91" i="26" s="1"/>
  <c r="M91" i="26" s="1"/>
  <c r="J32" i="26"/>
  <c r="K32" i="26"/>
  <c r="E72" i="26" s="1"/>
  <c r="I72" i="26" s="1"/>
  <c r="L32" i="26"/>
  <c r="F72" i="26" s="1"/>
  <c r="D33" i="26"/>
  <c r="F33" i="26"/>
  <c r="E92" i="26" s="1"/>
  <c r="G92" i="26" s="1"/>
  <c r="I92" i="26" s="1"/>
  <c r="K92" i="26" s="1"/>
  <c r="M92" i="26" s="1"/>
  <c r="J33" i="26"/>
  <c r="K33" i="26"/>
  <c r="E73" i="26" s="1"/>
  <c r="I73" i="26" s="1"/>
  <c r="L33" i="26"/>
  <c r="F73" i="26" s="1"/>
  <c r="D34" i="26"/>
  <c r="F34" i="26"/>
  <c r="E93" i="26" s="1"/>
  <c r="G93" i="26" s="1"/>
  <c r="I93" i="26" s="1"/>
  <c r="K93" i="26" s="1"/>
  <c r="M93" i="26" s="1"/>
  <c r="J34" i="26"/>
  <c r="K34" i="26"/>
  <c r="E74" i="26" s="1"/>
  <c r="I74" i="26" s="1"/>
  <c r="L34" i="26"/>
  <c r="F74" i="26" s="1"/>
  <c r="D35" i="26"/>
  <c r="F35" i="26"/>
  <c r="E94" i="26" s="1"/>
  <c r="G94" i="26" s="1"/>
  <c r="I94" i="26" s="1"/>
  <c r="K94" i="26" s="1"/>
  <c r="M94" i="26" s="1"/>
  <c r="J35" i="26"/>
  <c r="K35" i="26"/>
  <c r="E75" i="26" s="1"/>
  <c r="I75" i="26" s="1"/>
  <c r="L35" i="26"/>
  <c r="F75" i="26" s="1"/>
  <c r="D36" i="26"/>
  <c r="F36" i="26"/>
  <c r="E95" i="26" s="1"/>
  <c r="G95" i="26" s="1"/>
  <c r="I95" i="26" s="1"/>
  <c r="K95" i="26" s="1"/>
  <c r="M95" i="26" s="1"/>
  <c r="J36" i="26"/>
  <c r="K36" i="26"/>
  <c r="E76" i="26" s="1"/>
  <c r="I76" i="26" s="1"/>
  <c r="L36" i="26"/>
  <c r="F76" i="26" s="1"/>
  <c r="D37" i="26"/>
  <c r="F37" i="26"/>
  <c r="E96" i="26" s="1"/>
  <c r="G96" i="26" s="1"/>
  <c r="I96" i="26" s="1"/>
  <c r="K96" i="26" s="1"/>
  <c r="M96" i="26" s="1"/>
  <c r="J37" i="26"/>
  <c r="K37" i="26"/>
  <c r="E77" i="26" s="1"/>
  <c r="L37" i="26"/>
  <c r="F77" i="26" s="1"/>
  <c r="D38" i="26"/>
  <c r="F38" i="26"/>
  <c r="E97" i="26" s="1"/>
  <c r="G97" i="26" s="1"/>
  <c r="I97" i="26" s="1"/>
  <c r="K97" i="26" s="1"/>
  <c r="M97" i="26" s="1"/>
  <c r="J38" i="26"/>
  <c r="K38" i="26"/>
  <c r="E78" i="26" s="1"/>
  <c r="L38" i="26"/>
  <c r="F78" i="26" s="1"/>
  <c r="D39" i="26"/>
  <c r="F39" i="26"/>
  <c r="E98" i="26" s="1"/>
  <c r="G98" i="26" s="1"/>
  <c r="I98" i="26" s="1"/>
  <c r="K98" i="26" s="1"/>
  <c r="M98" i="26" s="1"/>
  <c r="J39" i="26"/>
  <c r="K39" i="26"/>
  <c r="E79" i="26" s="1"/>
  <c r="L39" i="26"/>
  <c r="F79" i="26" s="1"/>
  <c r="D40" i="26"/>
  <c r="F40" i="26"/>
  <c r="E99" i="26" s="1"/>
  <c r="G99" i="26" s="1"/>
  <c r="I99" i="26" s="1"/>
  <c r="K99" i="26" s="1"/>
  <c r="M99" i="26" s="1"/>
  <c r="J40" i="26"/>
  <c r="K40" i="26"/>
  <c r="E80" i="26" s="1"/>
  <c r="L40" i="26"/>
  <c r="F80" i="26" s="1"/>
  <c r="D41" i="26"/>
  <c r="F41" i="26"/>
  <c r="E100" i="26" s="1"/>
  <c r="G100" i="26" s="1"/>
  <c r="I100" i="26" s="1"/>
  <c r="K100" i="26" s="1"/>
  <c r="M100" i="26" s="1"/>
  <c r="J41" i="26"/>
  <c r="K41" i="26"/>
  <c r="E81" i="26" s="1"/>
  <c r="L41" i="26"/>
  <c r="F81" i="26" s="1"/>
  <c r="D42" i="26"/>
  <c r="F42" i="26"/>
  <c r="E101" i="26" s="1"/>
  <c r="G101" i="26" s="1"/>
  <c r="I101" i="26" s="1"/>
  <c r="K101" i="26" s="1"/>
  <c r="M101" i="26" s="1"/>
  <c r="J42" i="26"/>
  <c r="K42" i="26"/>
  <c r="E82" i="26" s="1"/>
  <c r="L42" i="26"/>
  <c r="F82" i="26" s="1"/>
  <c r="A48" i="26"/>
  <c r="B48" i="26"/>
  <c r="C48" i="26"/>
  <c r="D48" i="26"/>
  <c r="E48" i="26"/>
  <c r="F48" i="26"/>
  <c r="A49" i="26"/>
  <c r="B49" i="26"/>
  <c r="D49" i="26"/>
  <c r="E49" i="26"/>
  <c r="F49" i="26"/>
  <c r="S68" i="26" s="1"/>
  <c r="U68" i="26" s="1"/>
  <c r="G49" i="26"/>
  <c r="H49" i="26"/>
  <c r="I49" i="26"/>
  <c r="J49" i="26"/>
  <c r="K49" i="26"/>
  <c r="L49" i="26"/>
  <c r="M49" i="26"/>
  <c r="N49" i="26"/>
  <c r="O49" i="26"/>
  <c r="P49" i="26"/>
  <c r="Q49" i="26"/>
  <c r="A50" i="26"/>
  <c r="B50" i="26"/>
  <c r="D50" i="26"/>
  <c r="E50" i="26"/>
  <c r="F50" i="26"/>
  <c r="S69" i="26" s="1"/>
  <c r="U69" i="26" s="1"/>
  <c r="G50" i="26"/>
  <c r="H50" i="26"/>
  <c r="I50" i="26"/>
  <c r="J50" i="26"/>
  <c r="K50" i="26"/>
  <c r="L50" i="26"/>
  <c r="M50" i="26"/>
  <c r="N50" i="26"/>
  <c r="O50" i="26"/>
  <c r="P50" i="26"/>
  <c r="Q50" i="26"/>
  <c r="A51" i="26"/>
  <c r="B51" i="26"/>
  <c r="D51" i="26"/>
  <c r="E51" i="26"/>
  <c r="F51" i="26"/>
  <c r="S70" i="26" s="1"/>
  <c r="U70" i="26" s="1"/>
  <c r="G51" i="26"/>
  <c r="H51" i="26"/>
  <c r="I51" i="26"/>
  <c r="J51" i="26"/>
  <c r="K51" i="26"/>
  <c r="L51" i="26"/>
  <c r="M51" i="26"/>
  <c r="N51" i="26"/>
  <c r="O51" i="26"/>
  <c r="P51" i="26"/>
  <c r="Q51" i="26"/>
  <c r="A52" i="26"/>
  <c r="B52" i="26"/>
  <c r="D52" i="26"/>
  <c r="E52" i="26"/>
  <c r="F52" i="26"/>
  <c r="S71" i="26" s="1"/>
  <c r="U71" i="26" s="1"/>
  <c r="G52" i="26"/>
  <c r="H52" i="26"/>
  <c r="I52" i="26"/>
  <c r="J52" i="26"/>
  <c r="K52" i="26"/>
  <c r="L52" i="26"/>
  <c r="M52" i="26"/>
  <c r="N52" i="26"/>
  <c r="O52" i="26"/>
  <c r="P52" i="26"/>
  <c r="Q52" i="26"/>
  <c r="A53" i="26"/>
  <c r="B53" i="26"/>
  <c r="D53" i="26"/>
  <c r="E53" i="26"/>
  <c r="F53" i="26"/>
  <c r="S72" i="26" s="1"/>
  <c r="U72" i="26" s="1"/>
  <c r="G53" i="26"/>
  <c r="H53" i="26"/>
  <c r="I53" i="26"/>
  <c r="J53" i="26"/>
  <c r="K53" i="26"/>
  <c r="L53" i="26"/>
  <c r="M53" i="26"/>
  <c r="N53" i="26"/>
  <c r="O53" i="26"/>
  <c r="P53" i="26"/>
  <c r="Q53" i="26"/>
  <c r="A54" i="26"/>
  <c r="B54" i="26"/>
  <c r="D54" i="26"/>
  <c r="E54" i="26"/>
  <c r="F54" i="26"/>
  <c r="S73" i="26" s="1"/>
  <c r="U73" i="26" s="1"/>
  <c r="G54" i="26"/>
  <c r="H54" i="26"/>
  <c r="I54" i="26"/>
  <c r="J54" i="26"/>
  <c r="K54" i="26"/>
  <c r="L54" i="26"/>
  <c r="M54" i="26"/>
  <c r="N54" i="26"/>
  <c r="O54" i="26"/>
  <c r="P54" i="26"/>
  <c r="Q54" i="26"/>
  <c r="A55" i="26"/>
  <c r="B55" i="26"/>
  <c r="D55" i="26"/>
  <c r="E55" i="26"/>
  <c r="F55" i="26"/>
  <c r="S74" i="26" s="1"/>
  <c r="U74" i="26" s="1"/>
  <c r="G55" i="26"/>
  <c r="H55" i="26"/>
  <c r="I55" i="26"/>
  <c r="J55" i="26"/>
  <c r="K55" i="26"/>
  <c r="L55" i="26"/>
  <c r="M55" i="26"/>
  <c r="N55" i="26"/>
  <c r="O55" i="26"/>
  <c r="P55" i="26"/>
  <c r="Q55" i="26"/>
  <c r="A56" i="26"/>
  <c r="B56" i="26"/>
  <c r="D56" i="26"/>
  <c r="E56" i="26"/>
  <c r="F56" i="26"/>
  <c r="S75" i="26" s="1"/>
  <c r="U75" i="26" s="1"/>
  <c r="G56" i="26"/>
  <c r="H56" i="26"/>
  <c r="I56" i="26"/>
  <c r="J56" i="26"/>
  <c r="K56" i="26"/>
  <c r="L56" i="26"/>
  <c r="M56" i="26"/>
  <c r="N56" i="26"/>
  <c r="O56" i="26"/>
  <c r="P56" i="26"/>
  <c r="Q56" i="26"/>
  <c r="A57" i="26"/>
  <c r="B57" i="26"/>
  <c r="D57" i="26"/>
  <c r="E57" i="26"/>
  <c r="F57" i="26"/>
  <c r="S76" i="26" s="1"/>
  <c r="U76" i="26" s="1"/>
  <c r="G57" i="26"/>
  <c r="H57" i="26"/>
  <c r="I57" i="26"/>
  <c r="J57" i="26"/>
  <c r="K57" i="26"/>
  <c r="L57" i="26"/>
  <c r="M57" i="26"/>
  <c r="N57" i="26"/>
  <c r="O57" i="26"/>
  <c r="P57" i="26"/>
  <c r="Q57" i="26"/>
  <c r="A58" i="26"/>
  <c r="B58" i="26"/>
  <c r="D58" i="26"/>
  <c r="E58" i="26"/>
  <c r="F58" i="26"/>
  <c r="S77" i="26" s="1"/>
  <c r="U77" i="26" s="1"/>
  <c r="G58" i="26"/>
  <c r="I58" i="26"/>
  <c r="J58" i="26"/>
  <c r="K58" i="26"/>
  <c r="L58" i="26"/>
  <c r="M58" i="26"/>
  <c r="N58" i="26"/>
  <c r="O58" i="26"/>
  <c r="P58" i="26"/>
  <c r="Q58" i="26"/>
  <c r="A59" i="26"/>
  <c r="B59" i="26"/>
  <c r="D59" i="26"/>
  <c r="E59" i="26"/>
  <c r="F59" i="26"/>
  <c r="S78" i="26" s="1"/>
  <c r="U78" i="26" s="1"/>
  <c r="G59" i="26"/>
  <c r="I59" i="26"/>
  <c r="J59" i="26"/>
  <c r="K59" i="26"/>
  <c r="L59" i="26"/>
  <c r="M59" i="26"/>
  <c r="N59" i="26"/>
  <c r="O59" i="26"/>
  <c r="P59" i="26"/>
  <c r="Q59" i="26"/>
  <c r="A60" i="26"/>
  <c r="B60" i="26"/>
  <c r="D60" i="26"/>
  <c r="E60" i="26"/>
  <c r="F60" i="26"/>
  <c r="S79" i="26" s="1"/>
  <c r="U79" i="26" s="1"/>
  <c r="G60" i="26"/>
  <c r="I60" i="26"/>
  <c r="J60" i="26"/>
  <c r="K60" i="26"/>
  <c r="L60" i="26"/>
  <c r="M60" i="26"/>
  <c r="N60" i="26"/>
  <c r="O60" i="26"/>
  <c r="P60" i="26"/>
  <c r="Q60" i="26"/>
  <c r="A61" i="26"/>
  <c r="B61" i="26"/>
  <c r="D61" i="26"/>
  <c r="E61" i="26"/>
  <c r="F61" i="26"/>
  <c r="S80" i="26" s="1"/>
  <c r="U80" i="26" s="1"/>
  <c r="G61" i="26"/>
  <c r="I61" i="26"/>
  <c r="J61" i="26"/>
  <c r="K61" i="26"/>
  <c r="L61" i="26"/>
  <c r="M61" i="26"/>
  <c r="N61" i="26"/>
  <c r="O61" i="26"/>
  <c r="P61" i="26"/>
  <c r="Q61" i="26"/>
  <c r="A62" i="26"/>
  <c r="B62" i="26"/>
  <c r="D62" i="26"/>
  <c r="E62" i="26"/>
  <c r="F62" i="26"/>
  <c r="S81" i="26" s="1"/>
  <c r="U81" i="26" s="1"/>
  <c r="G62" i="26"/>
  <c r="I62" i="26"/>
  <c r="J62" i="26"/>
  <c r="K62" i="26"/>
  <c r="L62" i="26"/>
  <c r="M62" i="26"/>
  <c r="N62" i="26"/>
  <c r="O62" i="26"/>
  <c r="P62" i="26"/>
  <c r="Q62" i="26"/>
  <c r="A63" i="26"/>
  <c r="B63" i="26"/>
  <c r="D63" i="26"/>
  <c r="E63" i="26"/>
  <c r="F63" i="26"/>
  <c r="S82" i="26" s="1"/>
  <c r="U82" i="26" s="1"/>
  <c r="G63" i="26"/>
  <c r="I63" i="26"/>
  <c r="J63" i="26"/>
  <c r="K63" i="26"/>
  <c r="L63" i="26"/>
  <c r="M63" i="26"/>
  <c r="N63" i="26"/>
  <c r="O63" i="26"/>
  <c r="P63" i="26"/>
  <c r="Q63" i="26"/>
  <c r="G64" i="26"/>
  <c r="H64" i="26"/>
  <c r="I64" i="26"/>
  <c r="J64" i="26"/>
  <c r="K64" i="26"/>
  <c r="L64" i="26"/>
  <c r="M64" i="26"/>
  <c r="N64" i="26"/>
  <c r="O64" i="26"/>
  <c r="P64" i="26"/>
  <c r="Q64" i="26"/>
  <c r="B3" i="26"/>
  <c r="C3" i="26"/>
  <c r="D3" i="26"/>
  <c r="E3" i="26"/>
  <c r="F3" i="26"/>
  <c r="G3" i="26"/>
  <c r="H3" i="26"/>
  <c r="I3" i="26"/>
  <c r="J3" i="26"/>
  <c r="K3" i="26"/>
  <c r="A4" i="26"/>
  <c r="B4" i="26"/>
  <c r="C4" i="26"/>
  <c r="D4" i="26"/>
  <c r="E4" i="26"/>
  <c r="N68" i="26" s="1"/>
  <c r="P68" i="26" s="1"/>
  <c r="G4" i="26"/>
  <c r="H4" i="26"/>
  <c r="I4" i="26"/>
  <c r="J4" i="26"/>
  <c r="K4" i="26"/>
  <c r="L4" i="26"/>
  <c r="A5" i="26"/>
  <c r="B5" i="26"/>
  <c r="C5" i="26"/>
  <c r="D5" i="26"/>
  <c r="E5" i="26"/>
  <c r="N69" i="26" s="1"/>
  <c r="P69" i="26" s="1"/>
  <c r="F5" i="26"/>
  <c r="G5" i="26"/>
  <c r="H5" i="26"/>
  <c r="I5" i="26"/>
  <c r="J5" i="26"/>
  <c r="K5" i="26"/>
  <c r="L5" i="26"/>
  <c r="A6" i="26"/>
  <c r="B6" i="26"/>
  <c r="C6" i="26"/>
  <c r="D6" i="26"/>
  <c r="E6" i="26"/>
  <c r="N70" i="26" s="1"/>
  <c r="P70" i="26" s="1"/>
  <c r="F6" i="26"/>
  <c r="G6" i="26"/>
  <c r="H6" i="26"/>
  <c r="I6" i="26"/>
  <c r="J6" i="26"/>
  <c r="K6" i="26"/>
  <c r="L6" i="26"/>
  <c r="A7" i="26"/>
  <c r="B7" i="26"/>
  <c r="C7" i="26"/>
  <c r="D7" i="26"/>
  <c r="E7" i="26"/>
  <c r="N71" i="26" s="1"/>
  <c r="P71" i="26" s="1"/>
  <c r="F7" i="26"/>
  <c r="G7" i="26"/>
  <c r="H7" i="26"/>
  <c r="I7" i="26"/>
  <c r="J7" i="26"/>
  <c r="K7" i="26"/>
  <c r="L7" i="26"/>
  <c r="A8" i="26"/>
  <c r="B8" i="26"/>
  <c r="C8" i="26"/>
  <c r="D8" i="26"/>
  <c r="E8" i="26"/>
  <c r="N72" i="26" s="1"/>
  <c r="P72" i="26" s="1"/>
  <c r="F8" i="26"/>
  <c r="G8" i="26"/>
  <c r="H8" i="26"/>
  <c r="I8" i="26"/>
  <c r="J8" i="26"/>
  <c r="K8" i="26"/>
  <c r="L8" i="26"/>
  <c r="A9" i="26"/>
  <c r="B9" i="26"/>
  <c r="C9" i="26"/>
  <c r="D9" i="26"/>
  <c r="E9" i="26"/>
  <c r="N73" i="26" s="1"/>
  <c r="P73" i="26" s="1"/>
  <c r="F9" i="26"/>
  <c r="G9" i="26"/>
  <c r="H9" i="26"/>
  <c r="I9" i="26"/>
  <c r="J9" i="26"/>
  <c r="K9" i="26"/>
  <c r="L9" i="26"/>
  <c r="A10" i="26"/>
  <c r="B10" i="26"/>
  <c r="C10" i="26"/>
  <c r="D10" i="26"/>
  <c r="E10" i="26"/>
  <c r="N74" i="26" s="1"/>
  <c r="P74" i="26" s="1"/>
  <c r="F10" i="26"/>
  <c r="G10" i="26"/>
  <c r="H10" i="26"/>
  <c r="I10" i="26"/>
  <c r="J10" i="26"/>
  <c r="K10" i="26"/>
  <c r="L10" i="26"/>
  <c r="A11" i="26"/>
  <c r="B11" i="26"/>
  <c r="C11" i="26"/>
  <c r="D11" i="26"/>
  <c r="E11" i="26"/>
  <c r="N75" i="26" s="1"/>
  <c r="P75" i="26" s="1"/>
  <c r="F11" i="26"/>
  <c r="G11" i="26"/>
  <c r="H11" i="26"/>
  <c r="I11" i="26"/>
  <c r="J11" i="26"/>
  <c r="K11" i="26"/>
  <c r="L11" i="26"/>
  <c r="A12" i="26"/>
  <c r="B12" i="26"/>
  <c r="C12" i="26"/>
  <c r="D12" i="26"/>
  <c r="E12" i="26"/>
  <c r="N76" i="26" s="1"/>
  <c r="P76" i="26" s="1"/>
  <c r="F12" i="26"/>
  <c r="G12" i="26"/>
  <c r="H12" i="26"/>
  <c r="I12" i="26"/>
  <c r="J12" i="26"/>
  <c r="K12" i="26"/>
  <c r="L12" i="26"/>
  <c r="A13" i="26"/>
  <c r="B13" i="26"/>
  <c r="C13" i="26"/>
  <c r="D13" i="26"/>
  <c r="E13" i="26"/>
  <c r="N77" i="26" s="1"/>
  <c r="P77" i="26" s="1"/>
  <c r="F13" i="26"/>
  <c r="G13" i="26"/>
  <c r="H13" i="26"/>
  <c r="I13" i="26"/>
  <c r="J13" i="26"/>
  <c r="K13" i="26"/>
  <c r="L13" i="26"/>
  <c r="A14" i="26"/>
  <c r="B14" i="26"/>
  <c r="C14" i="26"/>
  <c r="D14" i="26"/>
  <c r="E14" i="26"/>
  <c r="N78" i="26" s="1"/>
  <c r="P78" i="26" s="1"/>
  <c r="F14" i="26"/>
  <c r="G14" i="26"/>
  <c r="H14" i="26"/>
  <c r="I14" i="26"/>
  <c r="J14" i="26"/>
  <c r="K14" i="26"/>
  <c r="L14" i="26"/>
  <c r="A15" i="26"/>
  <c r="B15" i="26"/>
  <c r="C15" i="26"/>
  <c r="D15" i="26"/>
  <c r="E15" i="26"/>
  <c r="N79" i="26" s="1"/>
  <c r="P79" i="26" s="1"/>
  <c r="F15" i="26"/>
  <c r="G15" i="26"/>
  <c r="H15" i="26"/>
  <c r="I15" i="26"/>
  <c r="J15" i="26"/>
  <c r="K15" i="26"/>
  <c r="L15" i="26"/>
  <c r="A16" i="26"/>
  <c r="B16" i="26"/>
  <c r="C16" i="26"/>
  <c r="D16" i="26"/>
  <c r="E16" i="26"/>
  <c r="N80" i="26" s="1"/>
  <c r="P80" i="26" s="1"/>
  <c r="F16" i="26"/>
  <c r="G16" i="26"/>
  <c r="H16" i="26"/>
  <c r="I16" i="26"/>
  <c r="J16" i="26"/>
  <c r="K16" i="26"/>
  <c r="L16" i="26"/>
  <c r="A17" i="26"/>
  <c r="B17" i="26"/>
  <c r="C17" i="26"/>
  <c r="D17" i="26"/>
  <c r="E17" i="26"/>
  <c r="N81" i="26" s="1"/>
  <c r="P81" i="26" s="1"/>
  <c r="F17" i="26"/>
  <c r="G17" i="26"/>
  <c r="H17" i="26"/>
  <c r="I17" i="26"/>
  <c r="J17" i="26"/>
  <c r="K17" i="26"/>
  <c r="L17" i="26"/>
  <c r="A18" i="26"/>
  <c r="B18" i="26"/>
  <c r="C18" i="26"/>
  <c r="D18" i="26"/>
  <c r="E18" i="26"/>
  <c r="N82" i="26" s="1"/>
  <c r="P82" i="26" s="1"/>
  <c r="F18" i="26"/>
  <c r="G18" i="26"/>
  <c r="H18" i="26"/>
  <c r="I18" i="26"/>
  <c r="J18" i="26"/>
  <c r="K18" i="26"/>
  <c r="L18" i="26"/>
  <c r="E30" i="23"/>
  <c r="G30" i="23"/>
  <c r="I30" i="23" s="1"/>
  <c r="K30" i="23" s="1"/>
  <c r="M30" i="23" s="1"/>
  <c r="O30" i="23" s="1"/>
  <c r="Q30" i="23" s="1"/>
  <c r="F30" i="23"/>
  <c r="H30" i="23" s="1"/>
  <c r="J30" i="23" s="1"/>
  <c r="L30" i="23" s="1"/>
  <c r="N30" i="23" s="1"/>
  <c r="P30" i="23" s="1"/>
  <c r="E19" i="19"/>
  <c r="J10" i="19"/>
  <c r="J17" i="19"/>
  <c r="J16" i="19"/>
  <c r="J15" i="19"/>
  <c r="J14" i="19"/>
  <c r="E14" i="19"/>
  <c r="E13" i="19"/>
  <c r="E15" i="19"/>
  <c r="E16" i="19"/>
  <c r="E17" i="19"/>
  <c r="E18" i="19"/>
  <c r="E20" i="19"/>
  <c r="J13" i="19"/>
  <c r="J12" i="19"/>
  <c r="J11" i="19"/>
  <c r="E12" i="19"/>
  <c r="G14" i="8"/>
  <c r="G15" i="8"/>
  <c r="G16" i="8"/>
  <c r="G17" i="8"/>
  <c r="G18" i="8"/>
  <c r="G19" i="8"/>
  <c r="G13" i="8"/>
  <c r="D14" i="8"/>
  <c r="D15" i="8"/>
  <c r="D16" i="8"/>
  <c r="D17" i="8"/>
  <c r="D18" i="8"/>
  <c r="D19" i="8"/>
  <c r="D13" i="8"/>
  <c r="M11" i="8"/>
  <c r="M15" i="8"/>
  <c r="E23" i="8"/>
  <c r="F23" i="8"/>
  <c r="E24" i="8"/>
  <c r="F24" i="8"/>
  <c r="E25" i="8"/>
  <c r="F25" i="8"/>
  <c r="E26" i="8"/>
  <c r="F26" i="8"/>
  <c r="E27" i="8"/>
  <c r="F27" i="8"/>
  <c r="E28" i="8"/>
  <c r="F28" i="8"/>
  <c r="E29" i="8"/>
  <c r="F29" i="8"/>
  <c r="E22" i="8"/>
  <c r="E23" i="18"/>
  <c r="F23" i="18" s="1"/>
  <c r="H23" i="18" s="1"/>
  <c r="E24" i="18"/>
  <c r="F24" i="18" s="1"/>
  <c r="H24" i="18" s="1"/>
  <c r="E25" i="18"/>
  <c r="F25" i="18" s="1"/>
  <c r="H25" i="18" s="1"/>
  <c r="E26" i="18"/>
  <c r="F26" i="18" s="1"/>
  <c r="H26" i="18" s="1"/>
  <c r="E27" i="18"/>
  <c r="F27" i="18" s="1"/>
  <c r="H27" i="18" s="1"/>
  <c r="E28" i="18"/>
  <c r="F28" i="18" s="1"/>
  <c r="H28" i="18" s="1"/>
  <c r="E29" i="18"/>
  <c r="F29" i="18" s="1"/>
  <c r="H29" i="18" s="1"/>
  <c r="F22" i="18"/>
  <c r="E11" i="19"/>
  <c r="E40" i="19"/>
  <c r="H10" i="22"/>
  <c r="H11" i="22"/>
  <c r="H12" i="22"/>
  <c r="G30" i="8"/>
  <c r="G36" i="8" s="1"/>
  <c r="F22" i="8"/>
  <c r="F30" i="8"/>
  <c r="F36" i="8" s="1"/>
  <c r="E30" i="8"/>
  <c r="E36" i="8" s="1"/>
  <c r="L29" i="29" l="1"/>
  <c r="M27" i="9" s="1"/>
  <c r="N24" i="29"/>
  <c r="C36" i="29"/>
  <c r="J40" i="29"/>
  <c r="J41" i="29" s="1"/>
  <c r="K40" i="9" s="1"/>
  <c r="F39" i="29"/>
  <c r="B38" i="29"/>
  <c r="J36" i="29"/>
  <c r="M40" i="29"/>
  <c r="I39" i="29"/>
  <c r="E38" i="29"/>
  <c r="M36" i="29"/>
  <c r="N17" i="29"/>
  <c r="L37" i="29"/>
  <c r="C39" i="29"/>
  <c r="M35" i="29"/>
  <c r="H39" i="29"/>
  <c r="H41" i="29" s="1"/>
  <c r="I40" i="9" s="1"/>
  <c r="L36" i="29"/>
  <c r="D39" i="29"/>
  <c r="G38" i="29"/>
  <c r="K40" i="29"/>
  <c r="K41" i="29" s="1"/>
  <c r="L40" i="9" s="1"/>
  <c r="C38" i="29"/>
  <c r="B35" i="29"/>
  <c r="F40" i="29"/>
  <c r="B39" i="29"/>
  <c r="J37" i="29"/>
  <c r="F36" i="29"/>
  <c r="I40" i="29"/>
  <c r="E39" i="29"/>
  <c r="E41" i="29" s="1"/>
  <c r="F40" i="9" s="1"/>
  <c r="M37" i="29"/>
  <c r="H29" i="29"/>
  <c r="I27" i="9" s="1"/>
  <c r="G29" i="29"/>
  <c r="H27" i="9" s="1"/>
  <c r="B41" i="29"/>
  <c r="C40" i="9" s="1"/>
  <c r="N35" i="29"/>
  <c r="I41" i="29"/>
  <c r="J40" i="9" s="1"/>
  <c r="N29" i="29"/>
  <c r="D41" i="29"/>
  <c r="E40" i="9" s="1"/>
  <c r="L41" i="29"/>
  <c r="M40" i="9" s="1"/>
  <c r="C41" i="29"/>
  <c r="D40" i="9" s="1"/>
  <c r="N37" i="29"/>
  <c r="F41" i="29"/>
  <c r="G40" i="9" s="1"/>
  <c r="N39" i="29"/>
  <c r="G41" i="29"/>
  <c r="H40" i="9" s="1"/>
  <c r="N36" i="29"/>
  <c r="D48" i="29"/>
  <c r="H48" i="29"/>
  <c r="L48" i="29"/>
  <c r="D49" i="29"/>
  <c r="H49" i="29"/>
  <c r="L49" i="29"/>
  <c r="D50" i="29"/>
  <c r="H50" i="29"/>
  <c r="L50" i="29"/>
  <c r="D51" i="29"/>
  <c r="H51" i="29"/>
  <c r="L51" i="29"/>
  <c r="D52" i="29"/>
  <c r="H52" i="29"/>
  <c r="L52" i="29"/>
  <c r="E47" i="29"/>
  <c r="I47" i="29"/>
  <c r="M47" i="29"/>
  <c r="E48" i="29"/>
  <c r="I48" i="29"/>
  <c r="M48" i="29"/>
  <c r="E49" i="29"/>
  <c r="I49" i="29"/>
  <c r="M49" i="29"/>
  <c r="E50" i="29"/>
  <c r="I50" i="29"/>
  <c r="M50" i="29"/>
  <c r="E51" i="29"/>
  <c r="I51" i="29"/>
  <c r="M51" i="29"/>
  <c r="E52" i="29"/>
  <c r="I52" i="29"/>
  <c r="M52" i="29"/>
  <c r="F47" i="29"/>
  <c r="J47" i="29"/>
  <c r="B47" i="29"/>
  <c r="B48" i="29"/>
  <c r="J48" i="29"/>
  <c r="F49" i="29"/>
  <c r="B50" i="29"/>
  <c r="J50" i="29"/>
  <c r="F51" i="29"/>
  <c r="B52" i="29"/>
  <c r="J52" i="29"/>
  <c r="G47" i="29"/>
  <c r="J49" i="29"/>
  <c r="J51" i="29"/>
  <c r="C47" i="29"/>
  <c r="K49" i="29"/>
  <c r="K51" i="29"/>
  <c r="D47" i="29"/>
  <c r="C48" i="29"/>
  <c r="K48" i="29"/>
  <c r="G49" i="29"/>
  <c r="C50" i="29"/>
  <c r="K50" i="29"/>
  <c r="G51" i="29"/>
  <c r="C52" i="29"/>
  <c r="K52" i="29"/>
  <c r="H47" i="29"/>
  <c r="F48" i="29"/>
  <c r="B49" i="29"/>
  <c r="F50" i="29"/>
  <c r="B51" i="29"/>
  <c r="F52" i="29"/>
  <c r="K47" i="29"/>
  <c r="G48" i="29"/>
  <c r="C49" i="29"/>
  <c r="G50" i="29"/>
  <c r="C51" i="29"/>
  <c r="G52" i="29"/>
  <c r="L47" i="29"/>
  <c r="W9" i="29"/>
  <c r="N38" i="29"/>
  <c r="E25" i="19"/>
  <c r="E29" i="19" s="1"/>
  <c r="E27" i="19"/>
  <c r="W11" i="27"/>
  <c r="X11" i="27"/>
  <c r="I9" i="27"/>
  <c r="H10" i="27"/>
  <c r="H14" i="27" s="1"/>
  <c r="C19" i="27"/>
  <c r="X13" i="27"/>
  <c r="C23" i="27" s="1"/>
  <c r="C32" i="17"/>
  <c r="I14" i="27"/>
  <c r="H16" i="27"/>
  <c r="P20" i="23"/>
  <c r="L20" i="23"/>
  <c r="L21" i="23" s="1"/>
  <c r="H20" i="23"/>
  <c r="H21" i="23" s="1"/>
  <c r="O20" i="23"/>
  <c r="O21" i="23" s="1"/>
  <c r="K20" i="23"/>
  <c r="K21" i="23" s="1"/>
  <c r="N20" i="23"/>
  <c r="J20" i="23"/>
  <c r="J21" i="23" s="1"/>
  <c r="Q20" i="23"/>
  <c r="M20" i="23"/>
  <c r="M21" i="23" s="1"/>
  <c r="I20" i="23"/>
  <c r="I21" i="23" s="1"/>
  <c r="E34" i="23"/>
  <c r="L13" i="23"/>
  <c r="N11" i="23"/>
  <c r="Q11" i="23"/>
  <c r="Q13" i="23" s="1"/>
  <c r="O13" i="23"/>
  <c r="H28" i="27"/>
  <c r="H37" i="27"/>
  <c r="H44" i="27" s="1"/>
  <c r="O27" i="9"/>
  <c r="C79" i="9" s="1"/>
  <c r="H31" i="23"/>
  <c r="P31" i="23"/>
  <c r="L31" i="23"/>
  <c r="K40" i="23"/>
  <c r="I40" i="23"/>
  <c r="J40" i="23"/>
  <c r="N40" i="23"/>
  <c r="H40" i="23"/>
  <c r="O40" i="23"/>
  <c r="L40" i="23"/>
  <c r="P40" i="23"/>
  <c r="M40" i="23"/>
  <c r="Q40" i="23"/>
  <c r="E33" i="23"/>
  <c r="O31" i="23"/>
  <c r="K31" i="23"/>
  <c r="G31" i="23"/>
  <c r="N31" i="23"/>
  <c r="J31" i="23"/>
  <c r="F31" i="23"/>
  <c r="E40" i="23"/>
  <c r="Q31" i="23"/>
  <c r="M31" i="23"/>
  <c r="I31" i="23"/>
  <c r="H77" i="28"/>
  <c r="I77" i="28" s="1"/>
  <c r="D10" i="28"/>
  <c r="H10" i="28" s="1"/>
  <c r="C11" i="28"/>
  <c r="F15" i="18"/>
  <c r="F11" i="18"/>
  <c r="G12" i="18"/>
  <c r="H17" i="18"/>
  <c r="H13" i="18"/>
  <c r="H9" i="18"/>
  <c r="G16" i="18"/>
  <c r="F8" i="18"/>
  <c r="F14" i="18"/>
  <c r="F9" i="18"/>
  <c r="G11" i="18"/>
  <c r="H16" i="18"/>
  <c r="H12" i="18"/>
  <c r="G14" i="18"/>
  <c r="F10" i="18"/>
  <c r="G10" i="18"/>
  <c r="H15" i="18"/>
  <c r="E18" i="18"/>
  <c r="J21" i="19"/>
  <c r="E21" i="19"/>
  <c r="G37" i="8"/>
  <c r="D27" i="19"/>
  <c r="I68" i="28"/>
  <c r="G32" i="23"/>
  <c r="H32" i="23"/>
  <c r="I32" i="23"/>
  <c r="J32" i="23"/>
  <c r="K32" i="23"/>
  <c r="L32" i="23"/>
  <c r="M32" i="23"/>
  <c r="N32" i="23"/>
  <c r="O32" i="23"/>
  <c r="O33" i="23" s="1"/>
  <c r="O47" i="23" s="1"/>
  <c r="P32" i="23"/>
  <c r="Q32" i="23"/>
  <c r="F32" i="23"/>
  <c r="C26" i="27"/>
  <c r="C47" i="27"/>
  <c r="D28" i="17" s="1"/>
  <c r="J28" i="17" s="1"/>
  <c r="G38" i="23"/>
  <c r="F38" i="23"/>
  <c r="E38" i="23"/>
  <c r="G82" i="26"/>
  <c r="H82" i="26"/>
  <c r="J82" i="26"/>
  <c r="K82" i="26"/>
  <c r="G81" i="26"/>
  <c r="H81" i="26"/>
  <c r="J81" i="26"/>
  <c r="K81" i="26"/>
  <c r="G80" i="26"/>
  <c r="H80" i="26"/>
  <c r="J80" i="26"/>
  <c r="K80" i="26"/>
  <c r="G79" i="26"/>
  <c r="H79" i="26"/>
  <c r="J79" i="26"/>
  <c r="K79" i="26"/>
  <c r="G78" i="26"/>
  <c r="H78" i="26"/>
  <c r="J78" i="26"/>
  <c r="K78" i="26"/>
  <c r="G77" i="26"/>
  <c r="H77" i="26"/>
  <c r="J77" i="26"/>
  <c r="K77" i="26"/>
  <c r="G76" i="26"/>
  <c r="H76" i="26"/>
  <c r="J76" i="26"/>
  <c r="K76" i="26"/>
  <c r="G75" i="26"/>
  <c r="H75" i="26"/>
  <c r="J75" i="26"/>
  <c r="K75" i="26"/>
  <c r="G74" i="26"/>
  <c r="H74" i="26"/>
  <c r="J74" i="26"/>
  <c r="K74" i="26"/>
  <c r="G73" i="26"/>
  <c r="H73" i="26"/>
  <c r="J73" i="26"/>
  <c r="K73" i="26"/>
  <c r="G72" i="26"/>
  <c r="H72" i="26"/>
  <c r="J72" i="26"/>
  <c r="K72" i="26"/>
  <c r="G71" i="26"/>
  <c r="H71" i="26"/>
  <c r="J71" i="26"/>
  <c r="K71" i="26"/>
  <c r="G70" i="26"/>
  <c r="H70" i="26"/>
  <c r="J70" i="26"/>
  <c r="K70" i="26"/>
  <c r="G69" i="26"/>
  <c r="H69" i="26"/>
  <c r="J69" i="26"/>
  <c r="K69" i="26"/>
  <c r="G68" i="26"/>
  <c r="H68" i="26"/>
  <c r="H83" i="26" s="1"/>
  <c r="J68" i="26"/>
  <c r="J83" i="26" s="1"/>
  <c r="K68" i="26"/>
  <c r="K83" i="26" s="1"/>
  <c r="E68" i="26"/>
  <c r="I68" i="26" s="1"/>
  <c r="I83" i="26" s="1"/>
  <c r="L25" i="26"/>
  <c r="L53" i="29" l="1"/>
  <c r="M51" i="9" s="1"/>
  <c r="N51" i="29"/>
  <c r="H53" i="29"/>
  <c r="I51" i="9" s="1"/>
  <c r="N40" i="29"/>
  <c r="M41" i="29"/>
  <c r="N40" i="9" s="1"/>
  <c r="O40" i="9" s="1"/>
  <c r="D79" i="9" s="1"/>
  <c r="C53" i="29"/>
  <c r="D51" i="9" s="1"/>
  <c r="N50" i="29"/>
  <c r="N47" i="29"/>
  <c r="B53" i="29"/>
  <c r="C51" i="9" s="1"/>
  <c r="E53" i="29"/>
  <c r="F51" i="9" s="1"/>
  <c r="D53" i="29"/>
  <c r="E51" i="9" s="1"/>
  <c r="J53" i="29"/>
  <c r="K51" i="9" s="1"/>
  <c r="K53" i="29"/>
  <c r="L51" i="9" s="1"/>
  <c r="N49" i="29"/>
  <c r="F53" i="29"/>
  <c r="G51" i="9" s="1"/>
  <c r="M53" i="29"/>
  <c r="N51" i="9" s="1"/>
  <c r="N41" i="29"/>
  <c r="N52" i="29"/>
  <c r="X9" i="29"/>
  <c r="B60" i="29"/>
  <c r="F60" i="29"/>
  <c r="J60" i="29"/>
  <c r="B61" i="29"/>
  <c r="F61" i="29"/>
  <c r="J61" i="29"/>
  <c r="B62" i="29"/>
  <c r="F62" i="29"/>
  <c r="J62" i="29"/>
  <c r="B63" i="29"/>
  <c r="F63" i="29"/>
  <c r="J63" i="29"/>
  <c r="B64" i="29"/>
  <c r="F64" i="29"/>
  <c r="J64" i="29"/>
  <c r="C59" i="29"/>
  <c r="G59" i="29"/>
  <c r="K59" i="29"/>
  <c r="C60" i="29"/>
  <c r="G60" i="29"/>
  <c r="K60" i="29"/>
  <c r="C61" i="29"/>
  <c r="G61" i="29"/>
  <c r="K61" i="29"/>
  <c r="C62" i="29"/>
  <c r="G62" i="29"/>
  <c r="K62" i="29"/>
  <c r="C63" i="29"/>
  <c r="G63" i="29"/>
  <c r="K63" i="29"/>
  <c r="C64" i="29"/>
  <c r="G64" i="29"/>
  <c r="K64" i="29"/>
  <c r="D59" i="29"/>
  <c r="H59" i="29"/>
  <c r="L59" i="29"/>
  <c r="D60" i="29"/>
  <c r="L60" i="29"/>
  <c r="H61" i="29"/>
  <c r="D62" i="29"/>
  <c r="L62" i="29"/>
  <c r="H63" i="29"/>
  <c r="D64" i="29"/>
  <c r="L64" i="29"/>
  <c r="I59" i="29"/>
  <c r="D61" i="29"/>
  <c r="H62" i="29"/>
  <c r="L63" i="29"/>
  <c r="E59" i="29"/>
  <c r="I60" i="29"/>
  <c r="I65" i="29" s="1"/>
  <c r="J63" i="9" s="1"/>
  <c r="E61" i="29"/>
  <c r="I62" i="29"/>
  <c r="M63" i="29"/>
  <c r="F59" i="29"/>
  <c r="E60" i="29"/>
  <c r="M60" i="29"/>
  <c r="I61" i="29"/>
  <c r="E62" i="29"/>
  <c r="N62" i="29" s="1"/>
  <c r="M62" i="29"/>
  <c r="I63" i="29"/>
  <c r="E64" i="29"/>
  <c r="M64" i="29"/>
  <c r="J59" i="29"/>
  <c r="H60" i="29"/>
  <c r="L61" i="29"/>
  <c r="D63" i="29"/>
  <c r="H64" i="29"/>
  <c r="M59" i="29"/>
  <c r="M61" i="29"/>
  <c r="E63" i="29"/>
  <c r="N63" i="29" s="1"/>
  <c r="I64" i="29"/>
  <c r="B59" i="29"/>
  <c r="G53" i="29"/>
  <c r="H51" i="9" s="1"/>
  <c r="N48" i="29"/>
  <c r="I53" i="29"/>
  <c r="J51" i="9" s="1"/>
  <c r="C7" i="16"/>
  <c r="B18" i="10" s="1"/>
  <c r="D9" i="22"/>
  <c r="C25" i="30"/>
  <c r="C26" i="30" s="1"/>
  <c r="B35" i="17"/>
  <c r="I32" i="17"/>
  <c r="C29" i="30" s="1"/>
  <c r="C31" i="30" s="1"/>
  <c r="C54" i="27"/>
  <c r="B36" i="17"/>
  <c r="H46" i="27"/>
  <c r="H47" i="27" s="1"/>
  <c r="H49" i="27" s="1"/>
  <c r="H18" i="27"/>
  <c r="I16" i="27"/>
  <c r="H19" i="27"/>
  <c r="C6" i="21"/>
  <c r="G6" i="21"/>
  <c r="L6" i="21"/>
  <c r="E6" i="21"/>
  <c r="D6" i="21"/>
  <c r="H6" i="21"/>
  <c r="M6" i="21"/>
  <c r="I6" i="21"/>
  <c r="B6" i="21"/>
  <c r="B31" i="21" s="1"/>
  <c r="F6" i="21"/>
  <c r="J6" i="21"/>
  <c r="K6" i="21"/>
  <c r="B86" i="21"/>
  <c r="J86" i="21"/>
  <c r="F86" i="21"/>
  <c r="K73" i="21"/>
  <c r="G73" i="21"/>
  <c r="C73" i="21"/>
  <c r="M60" i="21"/>
  <c r="I60" i="21"/>
  <c r="E60" i="21"/>
  <c r="L47" i="21"/>
  <c r="H47" i="21"/>
  <c r="D47" i="21"/>
  <c r="L86" i="21"/>
  <c r="D86" i="21"/>
  <c r="M73" i="21"/>
  <c r="E73" i="21"/>
  <c r="K60" i="21"/>
  <c r="C60" i="21"/>
  <c r="F47" i="21"/>
  <c r="M86" i="21"/>
  <c r="I86" i="21"/>
  <c r="E86" i="21"/>
  <c r="J73" i="21"/>
  <c r="F73" i="21"/>
  <c r="B73" i="21"/>
  <c r="L60" i="21"/>
  <c r="H60" i="21"/>
  <c r="D60" i="21"/>
  <c r="K47" i="21"/>
  <c r="G47" i="21"/>
  <c r="C47" i="21"/>
  <c r="H86" i="21"/>
  <c r="I73" i="21"/>
  <c r="G60" i="21"/>
  <c r="J47" i="21"/>
  <c r="B47" i="21"/>
  <c r="C86" i="21"/>
  <c r="L73" i="21"/>
  <c r="F60" i="21"/>
  <c r="I47" i="21"/>
  <c r="K86" i="21"/>
  <c r="G86" i="21"/>
  <c r="J60" i="21"/>
  <c r="M47" i="21"/>
  <c r="H73" i="21"/>
  <c r="B60" i="21"/>
  <c r="E47" i="21"/>
  <c r="D73" i="21"/>
  <c r="I32" i="21"/>
  <c r="J32" i="21"/>
  <c r="K32" i="21"/>
  <c r="L32" i="21"/>
  <c r="C32" i="21"/>
  <c r="E32" i="21"/>
  <c r="M32" i="21"/>
  <c r="H32" i="21"/>
  <c r="D32" i="21"/>
  <c r="F32" i="21"/>
  <c r="G32" i="21"/>
  <c r="G40" i="23"/>
  <c r="G41" i="23" s="1"/>
  <c r="G48" i="23" s="1"/>
  <c r="G20" i="23"/>
  <c r="G21" i="23" s="1"/>
  <c r="Q21" i="23"/>
  <c r="L33" i="23"/>
  <c r="L47" i="23" s="1"/>
  <c r="N13" i="23"/>
  <c r="P11" i="23"/>
  <c r="P13" i="23" s="1"/>
  <c r="P21" i="23"/>
  <c r="N21" i="23"/>
  <c r="N33" i="23"/>
  <c r="N47" i="23" s="1"/>
  <c r="F33" i="23"/>
  <c r="F47" i="23" s="1"/>
  <c r="K33" i="23"/>
  <c r="K47" i="23" s="1"/>
  <c r="N16" i="17"/>
  <c r="G11" i="17" s="1"/>
  <c r="P33" i="23"/>
  <c r="P47" i="23" s="1"/>
  <c r="H33" i="23"/>
  <c r="H47" i="23" s="1"/>
  <c r="O13" i="9"/>
  <c r="B7" i="16" s="1"/>
  <c r="G33" i="23"/>
  <c r="G47" i="23" s="1"/>
  <c r="F41" i="23"/>
  <c r="J33" i="23"/>
  <c r="J47" i="23" s="1"/>
  <c r="I33" i="23"/>
  <c r="I47" i="23" s="1"/>
  <c r="Q33" i="23"/>
  <c r="Q47" i="23" s="1"/>
  <c r="M33" i="23"/>
  <c r="M47" i="23" s="1"/>
  <c r="E41" i="23"/>
  <c r="D78" i="28"/>
  <c r="F18" i="18"/>
  <c r="E37" i="8"/>
  <c r="F37" i="8"/>
  <c r="H38" i="23"/>
  <c r="H41" i="23" s="1"/>
  <c r="I38" i="23"/>
  <c r="I41" i="23" s="1"/>
  <c r="L68" i="26"/>
  <c r="G83" i="26"/>
  <c r="L69" i="26"/>
  <c r="M5" i="26" s="1"/>
  <c r="N5" i="26" s="1"/>
  <c r="O5" i="26" s="1"/>
  <c r="P5" i="26" s="1"/>
  <c r="L70" i="26"/>
  <c r="M6" i="26" s="1"/>
  <c r="N6" i="26" s="1"/>
  <c r="O6" i="26" s="1"/>
  <c r="P6" i="26" s="1"/>
  <c r="L71" i="26"/>
  <c r="M7" i="26" s="1"/>
  <c r="N7" i="26" s="1"/>
  <c r="O7" i="26" s="1"/>
  <c r="P7" i="26" s="1"/>
  <c r="L72" i="26"/>
  <c r="M8" i="26" s="1"/>
  <c r="N8" i="26" s="1"/>
  <c r="O8" i="26" s="1"/>
  <c r="P8" i="26" s="1"/>
  <c r="L73" i="26"/>
  <c r="M9" i="26" s="1"/>
  <c r="N9" i="26" s="1"/>
  <c r="O9" i="26" s="1"/>
  <c r="P9" i="26" s="1"/>
  <c r="L74" i="26"/>
  <c r="M10" i="26" s="1"/>
  <c r="N10" i="26" s="1"/>
  <c r="O10" i="26" s="1"/>
  <c r="P10" i="26" s="1"/>
  <c r="L75" i="26"/>
  <c r="M11" i="26" s="1"/>
  <c r="N11" i="26" s="1"/>
  <c r="O11" i="26" s="1"/>
  <c r="P11" i="26" s="1"/>
  <c r="L76" i="26"/>
  <c r="M12" i="26" s="1"/>
  <c r="N12" i="26" s="1"/>
  <c r="O12" i="26" s="1"/>
  <c r="P12" i="26" s="1"/>
  <c r="L77" i="26"/>
  <c r="M13" i="26" s="1"/>
  <c r="N13" i="26" s="1"/>
  <c r="O13" i="26" s="1"/>
  <c r="P13" i="26" s="1"/>
  <c r="L78" i="26"/>
  <c r="M14" i="26" s="1"/>
  <c r="N14" i="26" s="1"/>
  <c r="O14" i="26" s="1"/>
  <c r="P14" i="26" s="1"/>
  <c r="L79" i="26"/>
  <c r="M15" i="26" s="1"/>
  <c r="N15" i="26" s="1"/>
  <c r="O15" i="26" s="1"/>
  <c r="P15" i="26" s="1"/>
  <c r="L80" i="26"/>
  <c r="M16" i="26" s="1"/>
  <c r="N16" i="26" s="1"/>
  <c r="O16" i="26" s="1"/>
  <c r="P16" i="26" s="1"/>
  <c r="L81" i="26"/>
  <c r="M17" i="26" s="1"/>
  <c r="N17" i="26" s="1"/>
  <c r="O17" i="26" s="1"/>
  <c r="P17" i="26" s="1"/>
  <c r="L82" i="26"/>
  <c r="M18" i="26" s="1"/>
  <c r="N18" i="26" s="1"/>
  <c r="O18" i="26" s="1"/>
  <c r="P18" i="26" s="1"/>
  <c r="N59" i="29" l="1"/>
  <c r="F65" i="29"/>
  <c r="G63" i="9" s="1"/>
  <c r="D65" i="29"/>
  <c r="E63" i="9" s="1"/>
  <c r="K65" i="29"/>
  <c r="L63" i="9" s="1"/>
  <c r="D10" i="22"/>
  <c r="D7" i="16"/>
  <c r="E65" i="29"/>
  <c r="F63" i="9" s="1"/>
  <c r="G65" i="29"/>
  <c r="H63" i="9" s="1"/>
  <c r="M12" i="17"/>
  <c r="D8" i="22"/>
  <c r="I8" i="22" s="1"/>
  <c r="F9" i="10"/>
  <c r="B65" i="29"/>
  <c r="C63" i="9" s="1"/>
  <c r="M65" i="29"/>
  <c r="N63" i="9" s="1"/>
  <c r="L65" i="29"/>
  <c r="M63" i="9" s="1"/>
  <c r="C65" i="29"/>
  <c r="D63" i="9" s="1"/>
  <c r="E71" i="29"/>
  <c r="I71" i="29"/>
  <c r="M71" i="29"/>
  <c r="F72" i="29"/>
  <c r="J72" i="29"/>
  <c r="C73" i="29"/>
  <c r="G73" i="29"/>
  <c r="K73" i="29"/>
  <c r="D74" i="29"/>
  <c r="H74" i="29"/>
  <c r="L74" i="29"/>
  <c r="E75" i="29"/>
  <c r="I75" i="29"/>
  <c r="M75" i="29"/>
  <c r="F76" i="29"/>
  <c r="J76" i="29"/>
  <c r="B72" i="29"/>
  <c r="B76" i="29"/>
  <c r="G71" i="29"/>
  <c r="K71" i="29"/>
  <c r="D72" i="29"/>
  <c r="H72" i="29"/>
  <c r="E73" i="29"/>
  <c r="M73" i="29"/>
  <c r="F74" i="29"/>
  <c r="C75" i="29"/>
  <c r="K75" i="29"/>
  <c r="D76" i="29"/>
  <c r="L76" i="29"/>
  <c r="H71" i="29"/>
  <c r="M72" i="29"/>
  <c r="J73" i="29"/>
  <c r="G74" i="29"/>
  <c r="D75" i="29"/>
  <c r="H75" i="29"/>
  <c r="E76" i="29"/>
  <c r="M76" i="29"/>
  <c r="F71" i="29"/>
  <c r="J71" i="29"/>
  <c r="C72" i="29"/>
  <c r="G72" i="29"/>
  <c r="G77" i="29" s="1"/>
  <c r="K72" i="29"/>
  <c r="D73" i="29"/>
  <c r="H73" i="29"/>
  <c r="L73" i="29"/>
  <c r="E74" i="29"/>
  <c r="I74" i="29"/>
  <c r="M74" i="29"/>
  <c r="F75" i="29"/>
  <c r="J75" i="29"/>
  <c r="C76" i="29"/>
  <c r="G76" i="29"/>
  <c r="K76" i="29"/>
  <c r="B73" i="29"/>
  <c r="B71" i="29"/>
  <c r="C71" i="29"/>
  <c r="L72" i="29"/>
  <c r="I73" i="29"/>
  <c r="J74" i="29"/>
  <c r="G75" i="29"/>
  <c r="H76" i="29"/>
  <c r="B74" i="29"/>
  <c r="D71" i="29"/>
  <c r="L71" i="29"/>
  <c r="E72" i="29"/>
  <c r="I72" i="29"/>
  <c r="F73" i="29"/>
  <c r="C74" i="29"/>
  <c r="K74" i="29"/>
  <c r="L75" i="29"/>
  <c r="I76" i="29"/>
  <c r="B75" i="29"/>
  <c r="N64" i="29"/>
  <c r="N53" i="29"/>
  <c r="J65" i="29"/>
  <c r="K63" i="9" s="1"/>
  <c r="N60" i="29"/>
  <c r="N61" i="29"/>
  <c r="H65" i="29"/>
  <c r="I63" i="9" s="1"/>
  <c r="O51" i="9"/>
  <c r="E79" i="9" s="1"/>
  <c r="H21" i="27"/>
  <c r="E47" i="27" s="1"/>
  <c r="D54" i="17" s="1"/>
  <c r="I21" i="27"/>
  <c r="E10" i="27"/>
  <c r="I10" i="22"/>
  <c r="F18" i="10"/>
  <c r="N60" i="21"/>
  <c r="N32" i="21"/>
  <c r="N73" i="21"/>
  <c r="N86" i="21"/>
  <c r="N47" i="21"/>
  <c r="E5" i="21"/>
  <c r="I5" i="21"/>
  <c r="M5" i="21"/>
  <c r="G5" i="21"/>
  <c r="F5" i="21"/>
  <c r="J5" i="21"/>
  <c r="B5" i="21"/>
  <c r="C5" i="21"/>
  <c r="D5" i="21"/>
  <c r="K5" i="21"/>
  <c r="L5" i="21"/>
  <c r="H5" i="21"/>
  <c r="E30" i="21"/>
  <c r="I30" i="21"/>
  <c r="M30" i="21"/>
  <c r="G30" i="21"/>
  <c r="D30" i="21"/>
  <c r="F30" i="21"/>
  <c r="F29" i="21" s="1"/>
  <c r="G15" i="9" s="1"/>
  <c r="J30" i="21"/>
  <c r="C30" i="21"/>
  <c r="K30" i="21"/>
  <c r="H30" i="21"/>
  <c r="H29" i="21" s="1"/>
  <c r="I15" i="9" s="1"/>
  <c r="L30" i="21"/>
  <c r="F46" i="21"/>
  <c r="J46" i="21"/>
  <c r="C31" i="21"/>
  <c r="G31" i="21"/>
  <c r="K31" i="21"/>
  <c r="H46" i="21"/>
  <c r="E31" i="21"/>
  <c r="M31" i="21"/>
  <c r="C46" i="21"/>
  <c r="G46" i="21"/>
  <c r="K46" i="21"/>
  <c r="D31" i="21"/>
  <c r="H31" i="21"/>
  <c r="L31" i="21"/>
  <c r="D46" i="21"/>
  <c r="L46" i="21"/>
  <c r="I31" i="21"/>
  <c r="M46" i="21"/>
  <c r="B46" i="21"/>
  <c r="J31" i="21"/>
  <c r="F31" i="21"/>
  <c r="E46" i="21"/>
  <c r="I46" i="21"/>
  <c r="N6" i="21"/>
  <c r="B18" i="21" s="1"/>
  <c r="G49" i="23"/>
  <c r="E43" i="23"/>
  <c r="T25" i="16" s="1"/>
  <c r="T31" i="16" s="1"/>
  <c r="M18" i="17"/>
  <c r="F73" i="17" s="1"/>
  <c r="I73" i="17" s="1"/>
  <c r="J18" i="10"/>
  <c r="H18" i="10"/>
  <c r="I18" i="10"/>
  <c r="E18" i="10"/>
  <c r="G18" i="10"/>
  <c r="D18" i="10"/>
  <c r="C18" i="10"/>
  <c r="U20" i="16"/>
  <c r="V20" i="16"/>
  <c r="T20" i="16"/>
  <c r="B79" i="9"/>
  <c r="E48" i="23"/>
  <c r="E47" i="23"/>
  <c r="G78" i="28"/>
  <c r="E78" i="28"/>
  <c r="F11" i="28"/>
  <c r="G11" i="28" s="1"/>
  <c r="F48" i="23"/>
  <c r="K38" i="23"/>
  <c r="I48" i="23"/>
  <c r="I49" i="23" s="1"/>
  <c r="J38" i="23"/>
  <c r="L83" i="26"/>
  <c r="M4" i="26"/>
  <c r="N4" i="26" s="1"/>
  <c r="E77" i="29" l="1"/>
  <c r="N75" i="29"/>
  <c r="C77" i="29"/>
  <c r="H77" i="29"/>
  <c r="D77" i="29"/>
  <c r="B77" i="29"/>
  <c r="N71" i="29"/>
  <c r="N76" i="29"/>
  <c r="I77" i="29"/>
  <c r="N73" i="29"/>
  <c r="J77" i="29"/>
  <c r="D28" i="10"/>
  <c r="E28" i="10"/>
  <c r="G28" i="10"/>
  <c r="I28" i="10"/>
  <c r="F28" i="10"/>
  <c r="H28" i="10"/>
  <c r="J28" i="10"/>
  <c r="C28" i="10"/>
  <c r="B28" i="10"/>
  <c r="L77" i="29"/>
  <c r="M77" i="29"/>
  <c r="N72" i="29"/>
  <c r="O63" i="9"/>
  <c r="F79" i="9" s="1"/>
  <c r="D11" i="22"/>
  <c r="I11" i="22" s="1"/>
  <c r="E7" i="16"/>
  <c r="N74" i="29"/>
  <c r="K77" i="29"/>
  <c r="F77" i="29"/>
  <c r="N13" i="17"/>
  <c r="F10" i="17"/>
  <c r="N65" i="29"/>
  <c r="I29" i="21"/>
  <c r="J15" i="9" s="1"/>
  <c r="K29" i="21"/>
  <c r="L15" i="9" s="1"/>
  <c r="L29" i="21"/>
  <c r="M15" i="9" s="1"/>
  <c r="J29" i="21"/>
  <c r="K15" i="9" s="1"/>
  <c r="E21" i="27"/>
  <c r="E26" i="27" s="1"/>
  <c r="E28" i="27" s="1"/>
  <c r="C19" i="21"/>
  <c r="D59" i="21"/>
  <c r="H59" i="21"/>
  <c r="L59" i="21"/>
  <c r="F59" i="21"/>
  <c r="J59" i="21"/>
  <c r="E59" i="21"/>
  <c r="I59" i="21"/>
  <c r="M59" i="21"/>
  <c r="N46" i="21"/>
  <c r="B59" i="21"/>
  <c r="G59" i="21"/>
  <c r="K59" i="21"/>
  <c r="C59" i="21"/>
  <c r="M29" i="21"/>
  <c r="N15" i="9" s="1"/>
  <c r="N31" i="21"/>
  <c r="C18" i="21" s="1"/>
  <c r="N5" i="21"/>
  <c r="D29" i="21"/>
  <c r="E15" i="9" s="1"/>
  <c r="E29" i="21"/>
  <c r="F15" i="9" s="1"/>
  <c r="C29" i="21"/>
  <c r="D15" i="9" s="1"/>
  <c r="G29" i="21"/>
  <c r="H15" i="9" s="1"/>
  <c r="B29" i="21"/>
  <c r="C15" i="9" s="1"/>
  <c r="C45" i="21"/>
  <c r="C44" i="21" s="1"/>
  <c r="D29" i="9" s="1"/>
  <c r="G45" i="21"/>
  <c r="G44" i="21" s="1"/>
  <c r="H29" i="9" s="1"/>
  <c r="K45" i="21"/>
  <c r="K44" i="21" s="1"/>
  <c r="L29" i="9" s="1"/>
  <c r="E45" i="21"/>
  <c r="E44" i="21" s="1"/>
  <c r="F29" i="9" s="1"/>
  <c r="M45" i="21"/>
  <c r="M44" i="21" s="1"/>
  <c r="N29" i="9" s="1"/>
  <c r="D45" i="21"/>
  <c r="D44" i="21" s="1"/>
  <c r="E29" i="9" s="1"/>
  <c r="H45" i="21"/>
  <c r="H44" i="21" s="1"/>
  <c r="I29" i="9" s="1"/>
  <c r="L45" i="21"/>
  <c r="L44" i="21" s="1"/>
  <c r="M29" i="9" s="1"/>
  <c r="I45" i="21"/>
  <c r="I44" i="21" s="1"/>
  <c r="J29" i="9" s="1"/>
  <c r="F45" i="21"/>
  <c r="F44" i="21" s="1"/>
  <c r="G29" i="9" s="1"/>
  <c r="J45" i="21"/>
  <c r="J44" i="21" s="1"/>
  <c r="K29" i="9" s="1"/>
  <c r="N30" i="21"/>
  <c r="H56" i="27"/>
  <c r="C49" i="21"/>
  <c r="G49" i="21"/>
  <c r="K49" i="21"/>
  <c r="E34" i="21"/>
  <c r="I34" i="21"/>
  <c r="M34" i="21"/>
  <c r="E49" i="21"/>
  <c r="J49" i="21"/>
  <c r="G34" i="21"/>
  <c r="L34" i="21"/>
  <c r="N9" i="21"/>
  <c r="B21" i="21" s="1"/>
  <c r="F49" i="21"/>
  <c r="L49" i="21"/>
  <c r="C34" i="21"/>
  <c r="H49" i="21"/>
  <c r="M49" i="21"/>
  <c r="B34" i="21"/>
  <c r="D34" i="21"/>
  <c r="J34" i="21"/>
  <c r="I49" i="21"/>
  <c r="F34" i="21"/>
  <c r="H34" i="21"/>
  <c r="D49" i="21"/>
  <c r="B49" i="21"/>
  <c r="K34" i="21"/>
  <c r="F49" i="23"/>
  <c r="N19" i="17"/>
  <c r="I9" i="22"/>
  <c r="C9" i="10"/>
  <c r="J9" i="10"/>
  <c r="D9" i="10"/>
  <c r="G9" i="10"/>
  <c r="B9" i="10"/>
  <c r="H9" i="10"/>
  <c r="I9" i="10"/>
  <c r="E9" i="10"/>
  <c r="W20" i="16"/>
  <c r="U7" i="16"/>
  <c r="T22" i="16" s="1"/>
  <c r="T19" i="16"/>
  <c r="E49" i="23"/>
  <c r="H78" i="28"/>
  <c r="I78" i="28" s="1"/>
  <c r="H11" i="28"/>
  <c r="C12" i="28" s="1"/>
  <c r="H48" i="23"/>
  <c r="H49" i="23" s="1"/>
  <c r="L38" i="23"/>
  <c r="J41" i="23"/>
  <c r="M38" i="23"/>
  <c r="K41" i="23"/>
  <c r="K48" i="23" s="1"/>
  <c r="K49" i="23" s="1"/>
  <c r="O4" i="26"/>
  <c r="P4" i="26" s="1"/>
  <c r="N19" i="26"/>
  <c r="O19" i="26" s="1"/>
  <c r="P19" i="26" s="1"/>
  <c r="D12" i="22" l="1"/>
  <c r="F7" i="16"/>
  <c r="N77" i="29"/>
  <c r="D13" i="22" s="1"/>
  <c r="I13" i="22" s="1"/>
  <c r="G61" i="17"/>
  <c r="J10" i="30" s="1"/>
  <c r="Q4" i="17"/>
  <c r="D39" i="10"/>
  <c r="B39" i="10"/>
  <c r="E39" i="10"/>
  <c r="C39" i="10"/>
  <c r="G39" i="10"/>
  <c r="H39" i="10"/>
  <c r="J39" i="10"/>
  <c r="I39" i="10"/>
  <c r="F39" i="10"/>
  <c r="N29" i="21"/>
  <c r="F8" i="22" s="1"/>
  <c r="G14" i="17"/>
  <c r="O15" i="9"/>
  <c r="B44" i="21"/>
  <c r="C29" i="9" s="1"/>
  <c r="O29" i="9" s="1"/>
  <c r="N45" i="21"/>
  <c r="N44" i="21" s="1"/>
  <c r="F58" i="21"/>
  <c r="F57" i="21" s="1"/>
  <c r="G42" i="9" s="1"/>
  <c r="J58" i="21"/>
  <c r="J57" i="21" s="1"/>
  <c r="K42" i="9" s="1"/>
  <c r="B58" i="21"/>
  <c r="D58" i="21"/>
  <c r="D57" i="21" s="1"/>
  <c r="E42" i="9" s="1"/>
  <c r="H58" i="21"/>
  <c r="H57" i="21" s="1"/>
  <c r="I42" i="9" s="1"/>
  <c r="L58" i="21"/>
  <c r="L57" i="21" s="1"/>
  <c r="M42" i="9" s="1"/>
  <c r="C58" i="21"/>
  <c r="C57" i="21" s="1"/>
  <c r="D42" i="9" s="1"/>
  <c r="G58" i="21"/>
  <c r="G57" i="21" s="1"/>
  <c r="H42" i="9" s="1"/>
  <c r="K58" i="21"/>
  <c r="K57" i="21" s="1"/>
  <c r="L42" i="9" s="1"/>
  <c r="E58" i="21"/>
  <c r="E57" i="21" s="1"/>
  <c r="F42" i="9" s="1"/>
  <c r="I58" i="21"/>
  <c r="I57" i="21" s="1"/>
  <c r="J42" i="9" s="1"/>
  <c r="M58" i="21"/>
  <c r="M57" i="21" s="1"/>
  <c r="N42" i="9" s="1"/>
  <c r="N59" i="21"/>
  <c r="E72" i="21"/>
  <c r="I72" i="21"/>
  <c r="M72" i="21"/>
  <c r="G72" i="21"/>
  <c r="F72" i="21"/>
  <c r="J72" i="21"/>
  <c r="B72" i="21"/>
  <c r="C72" i="21"/>
  <c r="K72" i="21"/>
  <c r="D72" i="21"/>
  <c r="H72" i="21"/>
  <c r="L72" i="21"/>
  <c r="C17" i="21"/>
  <c r="C16" i="21" s="1"/>
  <c r="B17" i="21"/>
  <c r="N34" i="21"/>
  <c r="C21" i="21" s="1"/>
  <c r="B35" i="21"/>
  <c r="B33" i="21" s="1"/>
  <c r="L89" i="21"/>
  <c r="H89" i="21"/>
  <c r="D89" i="21"/>
  <c r="B76" i="21"/>
  <c r="J76" i="21"/>
  <c r="F76" i="21"/>
  <c r="J63" i="21"/>
  <c r="F63" i="21"/>
  <c r="B63" i="21"/>
  <c r="L50" i="21"/>
  <c r="L48" i="21" s="1"/>
  <c r="H50" i="21"/>
  <c r="H48" i="21" s="1"/>
  <c r="D50" i="21"/>
  <c r="D48" i="21" s="1"/>
  <c r="D35" i="21"/>
  <c r="D33" i="21" s="1"/>
  <c r="H35" i="21"/>
  <c r="H33" i="21" s="1"/>
  <c r="L35" i="21"/>
  <c r="L33" i="21" s="1"/>
  <c r="I89" i="21"/>
  <c r="B89" i="21"/>
  <c r="I76" i="21"/>
  <c r="D76" i="21"/>
  <c r="I63" i="21"/>
  <c r="D63" i="21"/>
  <c r="K50" i="21"/>
  <c r="K48" i="21" s="1"/>
  <c r="F50" i="21"/>
  <c r="F48" i="21" s="1"/>
  <c r="G35" i="21"/>
  <c r="G33" i="21" s="1"/>
  <c r="M35" i="21"/>
  <c r="M33" i="21" s="1"/>
  <c r="M89" i="21"/>
  <c r="G89" i="21"/>
  <c r="M76" i="21"/>
  <c r="H76" i="21"/>
  <c r="C76" i="21"/>
  <c r="M63" i="21"/>
  <c r="H63" i="21"/>
  <c r="C63" i="21"/>
  <c r="J50" i="21"/>
  <c r="J48" i="21" s="1"/>
  <c r="E50" i="21"/>
  <c r="E48" i="21" s="1"/>
  <c r="C35" i="21"/>
  <c r="C33" i="21" s="1"/>
  <c r="I35" i="21"/>
  <c r="I33" i="21" s="1"/>
  <c r="C89" i="21"/>
  <c r="K89" i="21"/>
  <c r="F89" i="21"/>
  <c r="L76" i="21"/>
  <c r="G76" i="21"/>
  <c r="L63" i="21"/>
  <c r="G63" i="21"/>
  <c r="I50" i="21"/>
  <c r="I48" i="21" s="1"/>
  <c r="C50" i="21"/>
  <c r="C48" i="21" s="1"/>
  <c r="E35" i="21"/>
  <c r="E33" i="21" s="1"/>
  <c r="J35" i="21"/>
  <c r="E89" i="21"/>
  <c r="E76" i="21"/>
  <c r="E63" i="21"/>
  <c r="M50" i="21"/>
  <c r="M48" i="21" s="1"/>
  <c r="B50" i="21"/>
  <c r="K35" i="21"/>
  <c r="K33" i="21" s="1"/>
  <c r="J89" i="21"/>
  <c r="K76" i="21"/>
  <c r="K63" i="21"/>
  <c r="G50" i="21"/>
  <c r="G48" i="21" s="1"/>
  <c r="F35" i="21"/>
  <c r="F33" i="21" s="1"/>
  <c r="N10" i="21"/>
  <c r="B22" i="21" s="1"/>
  <c r="B48" i="21"/>
  <c r="C62" i="21"/>
  <c r="G62" i="21"/>
  <c r="K62" i="21"/>
  <c r="F62" i="21"/>
  <c r="F61" i="21" s="1"/>
  <c r="L62" i="21"/>
  <c r="B62" i="21"/>
  <c r="H62" i="21"/>
  <c r="H61" i="21" s="1"/>
  <c r="M62" i="21"/>
  <c r="D62" i="21"/>
  <c r="I62" i="21"/>
  <c r="J62" i="21"/>
  <c r="E62" i="21"/>
  <c r="N49" i="21"/>
  <c r="I42" i="27"/>
  <c r="J33" i="21"/>
  <c r="D79" i="28"/>
  <c r="F12" i="28"/>
  <c r="G12" i="28" s="1"/>
  <c r="O38" i="23"/>
  <c r="M41" i="23"/>
  <c r="M48" i="23" s="1"/>
  <c r="M49" i="23" s="1"/>
  <c r="J48" i="23"/>
  <c r="J49" i="23" s="1"/>
  <c r="N38" i="23"/>
  <c r="L41" i="23"/>
  <c r="E50" i="10" l="1"/>
  <c r="B50" i="10"/>
  <c r="J50" i="10"/>
  <c r="G50" i="10"/>
  <c r="D50" i="10"/>
  <c r="F50" i="10"/>
  <c r="C50" i="10"/>
  <c r="I50" i="10"/>
  <c r="H50" i="10"/>
  <c r="I12" i="22"/>
  <c r="I14" i="22" s="1"/>
  <c r="D14" i="22"/>
  <c r="J61" i="21"/>
  <c r="C10" i="16"/>
  <c r="F9" i="22"/>
  <c r="C90" i="17"/>
  <c r="E37" i="27"/>
  <c r="C85" i="21"/>
  <c r="G85" i="21"/>
  <c r="K85" i="21"/>
  <c r="I85" i="21"/>
  <c r="D85" i="21"/>
  <c r="H85" i="21"/>
  <c r="L85" i="21"/>
  <c r="E85" i="21"/>
  <c r="M85" i="21"/>
  <c r="N72" i="21"/>
  <c r="J85" i="21"/>
  <c r="B85" i="21"/>
  <c r="F85" i="21"/>
  <c r="B10" i="16"/>
  <c r="V21" i="16"/>
  <c r="U21" i="16"/>
  <c r="B57" i="21"/>
  <c r="C42" i="9" s="1"/>
  <c r="O42" i="9" s="1"/>
  <c r="F71" i="21"/>
  <c r="F70" i="21" s="1"/>
  <c r="G53" i="9" s="1"/>
  <c r="J71" i="21"/>
  <c r="J70" i="21" s="1"/>
  <c r="K53" i="9" s="1"/>
  <c r="B71" i="21"/>
  <c r="D71" i="21"/>
  <c r="D70" i="21" s="1"/>
  <c r="E53" i="9" s="1"/>
  <c r="L71" i="21"/>
  <c r="L70" i="21" s="1"/>
  <c r="M53" i="9" s="1"/>
  <c r="I71" i="21"/>
  <c r="I70" i="21" s="1"/>
  <c r="J53" i="9" s="1"/>
  <c r="C71" i="21"/>
  <c r="C70" i="21" s="1"/>
  <c r="D53" i="9" s="1"/>
  <c r="G71" i="21"/>
  <c r="G70" i="21" s="1"/>
  <c r="H53" i="9" s="1"/>
  <c r="K71" i="21"/>
  <c r="K70" i="21" s="1"/>
  <c r="L53" i="9" s="1"/>
  <c r="N58" i="21"/>
  <c r="N57" i="21" s="1"/>
  <c r="H71" i="21"/>
  <c r="H70" i="21" s="1"/>
  <c r="I53" i="9" s="1"/>
  <c r="E71" i="21"/>
  <c r="E70" i="21" s="1"/>
  <c r="F53" i="9" s="1"/>
  <c r="M71" i="21"/>
  <c r="M70" i="21" s="1"/>
  <c r="N53" i="9" s="1"/>
  <c r="N50" i="21"/>
  <c r="I61" i="21"/>
  <c r="J54" i="9" s="1"/>
  <c r="F30" i="9"/>
  <c r="F31" i="9" s="1"/>
  <c r="E51" i="21"/>
  <c r="D16" i="9"/>
  <c r="D17" i="9" s="1"/>
  <c r="C36" i="21"/>
  <c r="C38" i="21" s="1"/>
  <c r="H16" i="9"/>
  <c r="H17" i="9" s="1"/>
  <c r="G36" i="21"/>
  <c r="G38" i="21" s="1"/>
  <c r="G16" i="9"/>
  <c r="G17" i="9" s="1"/>
  <c r="F36" i="21"/>
  <c r="F38" i="21" s="1"/>
  <c r="J30" i="9"/>
  <c r="J31" i="9" s="1"/>
  <c r="I51" i="21"/>
  <c r="J16" i="9"/>
  <c r="J17" i="9" s="1"/>
  <c r="I36" i="21"/>
  <c r="I38" i="21" s="1"/>
  <c r="N16" i="9"/>
  <c r="N17" i="9" s="1"/>
  <c r="M36" i="21"/>
  <c r="M38" i="21" s="1"/>
  <c r="E16" i="9"/>
  <c r="E17" i="9" s="1"/>
  <c r="D36" i="21"/>
  <c r="D38" i="21" s="1"/>
  <c r="K16" i="9"/>
  <c r="K17" i="9" s="1"/>
  <c r="J36" i="21"/>
  <c r="J38" i="21" s="1"/>
  <c r="H30" i="9"/>
  <c r="H31" i="9" s="1"/>
  <c r="G51" i="21"/>
  <c r="G30" i="9"/>
  <c r="G31" i="9" s="1"/>
  <c r="F51" i="21"/>
  <c r="G54" i="9"/>
  <c r="G43" i="9"/>
  <c r="G44" i="9" s="1"/>
  <c r="F64" i="21"/>
  <c r="N89" i="21"/>
  <c r="N30" i="9"/>
  <c r="N31" i="9" s="1"/>
  <c r="M51" i="21"/>
  <c r="I43" i="9"/>
  <c r="I44" i="9" s="1"/>
  <c r="I54" i="9"/>
  <c r="H64" i="21"/>
  <c r="K61" i="21"/>
  <c r="N35" i="21"/>
  <c r="C22" i="21" s="1"/>
  <c r="L30" i="9"/>
  <c r="L31" i="9" s="1"/>
  <c r="K51" i="21"/>
  <c r="F16" i="9"/>
  <c r="F17" i="9" s="1"/>
  <c r="E36" i="21"/>
  <c r="E38" i="21" s="1"/>
  <c r="C75" i="21"/>
  <c r="C74" i="21" s="1"/>
  <c r="G75" i="21"/>
  <c r="G74" i="21" s="1"/>
  <c r="K75" i="21"/>
  <c r="K74" i="21" s="1"/>
  <c r="D75" i="21"/>
  <c r="D74" i="21" s="1"/>
  <c r="D77" i="21" s="1"/>
  <c r="I75" i="21"/>
  <c r="I74" i="21" s="1"/>
  <c r="B75" i="21"/>
  <c r="E75" i="21"/>
  <c r="E74" i="21" s="1"/>
  <c r="J75" i="21"/>
  <c r="J74" i="21" s="1"/>
  <c r="F75" i="21"/>
  <c r="F74" i="21" s="1"/>
  <c r="F77" i="21" s="1"/>
  <c r="L75" i="21"/>
  <c r="L74" i="21" s="1"/>
  <c r="B61" i="21"/>
  <c r="H75" i="21"/>
  <c r="H74" i="21" s="1"/>
  <c r="M75" i="21"/>
  <c r="M74" i="21" s="1"/>
  <c r="M77" i="21" s="1"/>
  <c r="N62" i="21"/>
  <c r="G61" i="21"/>
  <c r="E61" i="21"/>
  <c r="M61" i="21"/>
  <c r="I30" i="9"/>
  <c r="I31" i="9" s="1"/>
  <c r="H51" i="21"/>
  <c r="I44" i="27"/>
  <c r="C30" i="9"/>
  <c r="C31" i="9" s="1"/>
  <c r="B51" i="21"/>
  <c r="N48" i="21"/>
  <c r="N63" i="21"/>
  <c r="C16" i="9"/>
  <c r="N33" i="21"/>
  <c r="B11" i="16" s="1"/>
  <c r="B36" i="21"/>
  <c r="B38" i="21" s="1"/>
  <c r="D30" i="9"/>
  <c r="D31" i="9" s="1"/>
  <c r="C51" i="21"/>
  <c r="M16" i="9"/>
  <c r="M17" i="9" s="1"/>
  <c r="L36" i="21"/>
  <c r="L38" i="21" s="1"/>
  <c r="K54" i="9"/>
  <c r="K43" i="9"/>
  <c r="K44" i="9" s="1"/>
  <c r="J64" i="21"/>
  <c r="J43" i="9"/>
  <c r="J44" i="9" s="1"/>
  <c r="E30" i="9"/>
  <c r="D51" i="21"/>
  <c r="N76" i="21"/>
  <c r="L16" i="9"/>
  <c r="L17" i="9" s="1"/>
  <c r="K36" i="21"/>
  <c r="K38" i="21" s="1"/>
  <c r="I16" i="9"/>
  <c r="I17" i="9" s="1"/>
  <c r="H36" i="21"/>
  <c r="H38" i="21" s="1"/>
  <c r="K30" i="9"/>
  <c r="K31" i="9" s="1"/>
  <c r="J51" i="21"/>
  <c r="D61" i="21"/>
  <c r="L61" i="21"/>
  <c r="C61" i="21"/>
  <c r="M30" i="9"/>
  <c r="M31" i="9" s="1"/>
  <c r="L51" i="21"/>
  <c r="G79" i="28"/>
  <c r="E79" i="28"/>
  <c r="H12" i="28"/>
  <c r="C59" i="28"/>
  <c r="L48" i="23"/>
  <c r="L49" i="23" s="1"/>
  <c r="P38" i="23"/>
  <c r="P41" i="23" s="1"/>
  <c r="P48" i="23" s="1"/>
  <c r="P49" i="23" s="1"/>
  <c r="N41" i="23"/>
  <c r="Q38" i="23"/>
  <c r="Q41" i="23" s="1"/>
  <c r="Q48" i="23" s="1"/>
  <c r="Q49" i="23" s="1"/>
  <c r="O41" i="23"/>
  <c r="O48" i="23" s="1"/>
  <c r="O49" i="23" s="1"/>
  <c r="N85" i="21" l="1"/>
  <c r="M101" i="21"/>
  <c r="I101" i="21"/>
  <c r="E101" i="21"/>
  <c r="L101" i="21"/>
  <c r="H101" i="21"/>
  <c r="D101" i="21"/>
  <c r="F101" i="21"/>
  <c r="K101" i="21"/>
  <c r="G101" i="21"/>
  <c r="C101" i="21"/>
  <c r="J101" i="21"/>
  <c r="I64" i="21"/>
  <c r="B13" i="16"/>
  <c r="L97" i="21"/>
  <c r="H97" i="21"/>
  <c r="D97" i="21"/>
  <c r="K97" i="21"/>
  <c r="G97" i="21"/>
  <c r="G104" i="21" s="1"/>
  <c r="C97" i="21"/>
  <c r="I97" i="21"/>
  <c r="E97" i="21"/>
  <c r="J97" i="21"/>
  <c r="F97" i="21"/>
  <c r="M97" i="21"/>
  <c r="M104" i="21" s="1"/>
  <c r="D10" i="16"/>
  <c r="F10" i="22"/>
  <c r="E77" i="21"/>
  <c r="K77" i="21"/>
  <c r="L77" i="21"/>
  <c r="G77" i="21"/>
  <c r="G55" i="9"/>
  <c r="J77" i="21"/>
  <c r="H77" i="21"/>
  <c r="D84" i="21"/>
  <c r="D83" i="21" s="1"/>
  <c r="E65" i="9" s="1"/>
  <c r="H84" i="21"/>
  <c r="H83" i="21" s="1"/>
  <c r="I65" i="9" s="1"/>
  <c r="L84" i="21"/>
  <c r="L83" i="21" s="1"/>
  <c r="M65" i="9" s="1"/>
  <c r="B70" i="21"/>
  <c r="C53" i="9" s="1"/>
  <c r="O53" i="9" s="1"/>
  <c r="F84" i="21"/>
  <c r="F83" i="21" s="1"/>
  <c r="G65" i="9" s="1"/>
  <c r="B84" i="21"/>
  <c r="C84" i="21"/>
  <c r="C83" i="21" s="1"/>
  <c r="D65" i="9" s="1"/>
  <c r="K84" i="21"/>
  <c r="K83" i="21" s="1"/>
  <c r="L65" i="9" s="1"/>
  <c r="N71" i="21"/>
  <c r="N70" i="21" s="1"/>
  <c r="E84" i="21"/>
  <c r="E83" i="21" s="1"/>
  <c r="F65" i="9" s="1"/>
  <c r="I84" i="21"/>
  <c r="I83" i="21" s="1"/>
  <c r="J65" i="9" s="1"/>
  <c r="M84" i="21"/>
  <c r="M83" i="21" s="1"/>
  <c r="N65" i="9" s="1"/>
  <c r="J84" i="21"/>
  <c r="J83" i="21" s="1"/>
  <c r="K65" i="9" s="1"/>
  <c r="G84" i="21"/>
  <c r="G83" i="21" s="1"/>
  <c r="H65" i="9" s="1"/>
  <c r="J55" i="9"/>
  <c r="K55" i="9"/>
  <c r="I77" i="21"/>
  <c r="C77" i="21"/>
  <c r="M21" i="17"/>
  <c r="Q5" i="17" s="1"/>
  <c r="T6" i="16"/>
  <c r="D54" i="9"/>
  <c r="D55" i="9" s="1"/>
  <c r="D43" i="9"/>
  <c r="D44" i="9" s="1"/>
  <c r="C64" i="21"/>
  <c r="C32" i="9"/>
  <c r="D32" i="9" s="1"/>
  <c r="H54" i="9"/>
  <c r="H55" i="9" s="1"/>
  <c r="H43" i="9"/>
  <c r="H44" i="9" s="1"/>
  <c r="G64" i="21"/>
  <c r="C54" i="9"/>
  <c r="C55" i="9" s="1"/>
  <c r="C43" i="9"/>
  <c r="N61" i="21"/>
  <c r="B64" i="21"/>
  <c r="G88" i="21"/>
  <c r="G87" i="21" s="1"/>
  <c r="K88" i="21"/>
  <c r="K87" i="21" s="1"/>
  <c r="C88" i="21"/>
  <c r="C87" i="21" s="1"/>
  <c r="F88" i="21"/>
  <c r="F87" i="21" s="1"/>
  <c r="L88" i="21"/>
  <c r="L87" i="21" s="1"/>
  <c r="H88" i="21"/>
  <c r="H87" i="21" s="1"/>
  <c r="M88" i="21"/>
  <c r="M87" i="21" s="1"/>
  <c r="D88" i="21"/>
  <c r="D87" i="21" s="1"/>
  <c r="I88" i="21"/>
  <c r="I87" i="21" s="1"/>
  <c r="N75" i="21"/>
  <c r="E88" i="21"/>
  <c r="E87" i="21" s="1"/>
  <c r="J88" i="21"/>
  <c r="J87" i="21" s="1"/>
  <c r="B88" i="21"/>
  <c r="B74" i="21"/>
  <c r="E43" i="9"/>
  <c r="E44" i="9" s="1"/>
  <c r="E54" i="9"/>
  <c r="E55" i="9" s="1"/>
  <c r="D64" i="21"/>
  <c r="E41" i="21"/>
  <c r="M19" i="21" s="1"/>
  <c r="N51" i="21"/>
  <c r="D16" i="21" s="1" a="1"/>
  <c r="D16" i="21" s="1"/>
  <c r="C11" i="16"/>
  <c r="C13" i="16" s="1"/>
  <c r="D56" i="17"/>
  <c r="L54" i="27"/>
  <c r="I49" i="27"/>
  <c r="E49" i="27"/>
  <c r="N43" i="9"/>
  <c r="N44" i="9" s="1"/>
  <c r="N54" i="9"/>
  <c r="N55" i="9" s="1"/>
  <c r="M64" i="21"/>
  <c r="I55" i="9"/>
  <c r="O16" i="9"/>
  <c r="C17" i="9"/>
  <c r="L54" i="9"/>
  <c r="L55" i="9" s="1"/>
  <c r="L43" i="9"/>
  <c r="L44" i="9" s="1"/>
  <c r="K64" i="21"/>
  <c r="M43" i="9"/>
  <c r="M44" i="9" s="1"/>
  <c r="M54" i="9"/>
  <c r="M55" i="9" s="1"/>
  <c r="L64" i="21"/>
  <c r="O30" i="9"/>
  <c r="E31" i="9"/>
  <c r="O31" i="9" s="1"/>
  <c r="N36" i="21"/>
  <c r="C20" i="21"/>
  <c r="C23" i="21" s="1"/>
  <c r="U22" i="16"/>
  <c r="V22" i="16"/>
  <c r="F43" i="9"/>
  <c r="F44" i="9" s="1"/>
  <c r="F54" i="9"/>
  <c r="F55" i="9" s="1"/>
  <c r="E64" i="21"/>
  <c r="H79" i="28"/>
  <c r="I79" i="28" s="1"/>
  <c r="C13" i="28"/>
  <c r="D13" i="28"/>
  <c r="B68" i="28"/>
  <c r="N48" i="23"/>
  <c r="L104" i="21" l="1"/>
  <c r="K104" i="21"/>
  <c r="I104" i="21"/>
  <c r="J104" i="21"/>
  <c r="E104" i="21"/>
  <c r="D104" i="21"/>
  <c r="N102" i="21"/>
  <c r="B101" i="21"/>
  <c r="N101" i="21" s="1"/>
  <c r="F104" i="21"/>
  <c r="C104" i="21"/>
  <c r="H104" i="21"/>
  <c r="E10" i="16"/>
  <c r="F11" i="22"/>
  <c r="N97" i="21"/>
  <c r="F13" i="22" s="1"/>
  <c r="B58" i="17"/>
  <c r="N22" i="17"/>
  <c r="G13" i="17" s="1"/>
  <c r="F67" i="17"/>
  <c r="J14" i="30" s="1"/>
  <c r="J15" i="30" s="1"/>
  <c r="J19" i="30" s="1"/>
  <c r="J22" i="30" s="1"/>
  <c r="Q6" i="17"/>
  <c r="T21" i="16"/>
  <c r="W21" i="16"/>
  <c r="T9" i="16"/>
  <c r="T27" i="16"/>
  <c r="T10" i="16"/>
  <c r="N84" i="21"/>
  <c r="N83" i="21" s="1"/>
  <c r="B83" i="21"/>
  <c r="C65" i="9" s="1"/>
  <c r="O65" i="9" s="1"/>
  <c r="K66" i="9"/>
  <c r="K67" i="9" s="1"/>
  <c r="J90" i="21"/>
  <c r="G66" i="9"/>
  <c r="G67" i="9" s="1"/>
  <c r="F90" i="21"/>
  <c r="L52" i="27"/>
  <c r="P52" i="27" s="1"/>
  <c r="E63" i="27"/>
  <c r="L53" i="27" s="1"/>
  <c r="P53" i="27" s="1"/>
  <c r="L51" i="27"/>
  <c r="N66" i="9"/>
  <c r="N67" i="9" s="1"/>
  <c r="M90" i="21"/>
  <c r="D66" i="9"/>
  <c r="D67" i="9" s="1"/>
  <c r="C90" i="21"/>
  <c r="D11" i="16"/>
  <c r="N64" i="21"/>
  <c r="E16" i="21" s="1" a="1"/>
  <c r="E16" i="21" s="1"/>
  <c r="N19" i="21"/>
  <c r="N21" i="21" s="1"/>
  <c r="M21" i="21"/>
  <c r="N74" i="21"/>
  <c r="B77" i="21"/>
  <c r="I66" i="9"/>
  <c r="I67" i="9" s="1"/>
  <c r="H90" i="21"/>
  <c r="L66" i="9"/>
  <c r="L67" i="9" s="1"/>
  <c r="K90" i="21"/>
  <c r="O43" i="9"/>
  <c r="C44" i="9"/>
  <c r="E10" i="10"/>
  <c r="F10" i="10"/>
  <c r="C10" i="10"/>
  <c r="B10" i="10"/>
  <c r="H10" i="10"/>
  <c r="J10" i="10"/>
  <c r="G10" i="10"/>
  <c r="D10" i="10"/>
  <c r="I10" i="10"/>
  <c r="C18" i="9"/>
  <c r="D18" i="9" s="1"/>
  <c r="E18" i="9" s="1"/>
  <c r="F18" i="9" s="1"/>
  <c r="G18" i="9" s="1"/>
  <c r="H18" i="9" s="1"/>
  <c r="I18" i="9" s="1"/>
  <c r="J18" i="9" s="1"/>
  <c r="K18" i="9" s="1"/>
  <c r="L18" i="9" s="1"/>
  <c r="M18" i="9" s="1"/>
  <c r="N18" i="9" s="1"/>
  <c r="O18" i="9" s="1"/>
  <c r="Q13" i="9" s="1"/>
  <c r="Q14" i="9" s="1"/>
  <c r="O17" i="9"/>
  <c r="E66" i="9"/>
  <c r="E67" i="9" s="1"/>
  <c r="D90" i="21"/>
  <c r="F66" i="9"/>
  <c r="F67" i="9" s="1"/>
  <c r="E90" i="21"/>
  <c r="O54" i="9"/>
  <c r="E54" i="27"/>
  <c r="E55" i="27" s="1"/>
  <c r="N88" i="21"/>
  <c r="B87" i="21"/>
  <c r="J66" i="9"/>
  <c r="J67" i="9" s="1"/>
  <c r="I90" i="21"/>
  <c r="M66" i="9"/>
  <c r="M67" i="9" s="1"/>
  <c r="L90" i="21"/>
  <c r="H66" i="9"/>
  <c r="H67" i="9" s="1"/>
  <c r="G90" i="21"/>
  <c r="C56" i="9"/>
  <c r="D56" i="9" s="1"/>
  <c r="E56" i="9" s="1"/>
  <c r="F56" i="9" s="1"/>
  <c r="G56" i="9" s="1"/>
  <c r="H56" i="9" s="1"/>
  <c r="I56" i="9" s="1"/>
  <c r="J56" i="9" s="1"/>
  <c r="K56" i="9" s="1"/>
  <c r="L56" i="9" s="1"/>
  <c r="M56" i="9" s="1"/>
  <c r="N56" i="9" s="1"/>
  <c r="O56" i="9" s="1"/>
  <c r="O55" i="9"/>
  <c r="E32" i="9"/>
  <c r="F32" i="9" s="1"/>
  <c r="G32" i="9" s="1"/>
  <c r="H32" i="9" s="1"/>
  <c r="I32" i="9" s="1"/>
  <c r="J32" i="9" s="1"/>
  <c r="K32" i="9" s="1"/>
  <c r="L32" i="9" s="1"/>
  <c r="M32" i="9" s="1"/>
  <c r="N32" i="9" s="1"/>
  <c r="O32" i="9" s="1"/>
  <c r="D80" i="28"/>
  <c r="E80" i="28" s="1"/>
  <c r="F13" i="28"/>
  <c r="G13" i="28" s="1"/>
  <c r="H13" i="28"/>
  <c r="N49" i="23"/>
  <c r="I7" i="17" l="1"/>
  <c r="C12" i="30" s="1"/>
  <c r="C18" i="30" s="1"/>
  <c r="C33" i="30" s="1"/>
  <c r="N104" i="21"/>
  <c r="B104" i="21"/>
  <c r="F10" i="16"/>
  <c r="F12" i="22"/>
  <c r="D90" i="17"/>
  <c r="D91" i="17" s="1"/>
  <c r="Q9" i="17"/>
  <c r="Q12" i="17" s="1"/>
  <c r="M36" i="17"/>
  <c r="E57" i="27"/>
  <c r="T33" i="16"/>
  <c r="T28" i="16"/>
  <c r="Q51" i="9"/>
  <c r="Q52" i="9" s="1"/>
  <c r="E80" i="9"/>
  <c r="E81" i="9" s="1"/>
  <c r="I13" i="10"/>
  <c r="I11" i="10"/>
  <c r="H13" i="10"/>
  <c r="H11" i="10"/>
  <c r="E11" i="10"/>
  <c r="E13" i="10"/>
  <c r="C80" i="9"/>
  <c r="C81" i="9" s="1"/>
  <c r="Q27" i="9"/>
  <c r="Q28" i="9" s="1"/>
  <c r="D11" i="10"/>
  <c r="D13" i="10"/>
  <c r="B13" i="10"/>
  <c r="B11" i="10"/>
  <c r="E11" i="16"/>
  <c r="N77" i="21"/>
  <c r="F16" i="21" s="1" a="1"/>
  <c r="F16" i="21" s="1"/>
  <c r="C66" i="9"/>
  <c r="N87" i="21"/>
  <c r="B90" i="21"/>
  <c r="G11" i="10"/>
  <c r="G13" i="10"/>
  <c r="C13" i="10"/>
  <c r="C11" i="10"/>
  <c r="O44" i="9"/>
  <c r="C45" i="9"/>
  <c r="D45" i="9" s="1"/>
  <c r="E45" i="9" s="1"/>
  <c r="F45" i="9" s="1"/>
  <c r="G45" i="9" s="1"/>
  <c r="H45" i="9" s="1"/>
  <c r="I45" i="9" s="1"/>
  <c r="J45" i="9" s="1"/>
  <c r="K45" i="9" s="1"/>
  <c r="L45" i="9" s="1"/>
  <c r="M45" i="9" s="1"/>
  <c r="N45" i="9" s="1"/>
  <c r="O45" i="9" s="1"/>
  <c r="I29" i="10"/>
  <c r="H29" i="10"/>
  <c r="G29" i="10"/>
  <c r="F29" i="10"/>
  <c r="D13" i="16"/>
  <c r="J29" i="10"/>
  <c r="D29" i="10"/>
  <c r="E29" i="10"/>
  <c r="B29" i="10"/>
  <c r="C29" i="10"/>
  <c r="Q15" i="9"/>
  <c r="Q16" i="9"/>
  <c r="J11" i="10"/>
  <c r="J13" i="10"/>
  <c r="F13" i="10"/>
  <c r="F11" i="10"/>
  <c r="B45" i="17"/>
  <c r="B50" i="17" s="1"/>
  <c r="B59" i="17" s="1"/>
  <c r="G80" i="28"/>
  <c r="D81" i="28"/>
  <c r="C14" i="28"/>
  <c r="D14" i="28" s="1"/>
  <c r="E59" i="28"/>
  <c r="C8" i="21"/>
  <c r="D8" i="21"/>
  <c r="E8" i="21"/>
  <c r="F8" i="21"/>
  <c r="G8" i="21"/>
  <c r="H8" i="21"/>
  <c r="I8" i="21"/>
  <c r="J8" i="21"/>
  <c r="K8" i="21"/>
  <c r="L8" i="21"/>
  <c r="M8" i="21"/>
  <c r="B8" i="21"/>
  <c r="Q17" i="9" l="1"/>
  <c r="F63" i="17"/>
  <c r="Q14" i="17"/>
  <c r="J24" i="30" s="1"/>
  <c r="Q15" i="17"/>
  <c r="J25" i="30" s="1"/>
  <c r="T34" i="16"/>
  <c r="T39" i="16" s="1"/>
  <c r="V39" i="16" s="1"/>
  <c r="T35" i="16"/>
  <c r="J30" i="10"/>
  <c r="J32" i="10"/>
  <c r="H30" i="10"/>
  <c r="H32" i="10"/>
  <c r="J9" i="22"/>
  <c r="K9" i="22" s="1"/>
  <c r="G9" i="22"/>
  <c r="C40" i="10"/>
  <c r="D40" i="10"/>
  <c r="E40" i="10"/>
  <c r="G40" i="10"/>
  <c r="B40" i="10"/>
  <c r="E13" i="16"/>
  <c r="J40" i="10"/>
  <c r="I40" i="10"/>
  <c r="F40" i="10"/>
  <c r="H40" i="10"/>
  <c r="E32" i="10"/>
  <c r="E30" i="10"/>
  <c r="D80" i="9"/>
  <c r="D81" i="9" s="1"/>
  <c r="B80" i="9"/>
  <c r="B81" i="9" s="1"/>
  <c r="Q40" i="9"/>
  <c r="Q41" i="9" s="1"/>
  <c r="O66" i="9"/>
  <c r="C67" i="9"/>
  <c r="C30" i="10"/>
  <c r="C32" i="10"/>
  <c r="B32" i="10"/>
  <c r="B30" i="10"/>
  <c r="I32" i="10"/>
  <c r="I30" i="10"/>
  <c r="F11" i="16"/>
  <c r="N90" i="21"/>
  <c r="G16" i="21" s="1" a="1"/>
  <c r="G16" i="21" s="1"/>
  <c r="F30" i="10"/>
  <c r="F32" i="10"/>
  <c r="D30" i="10"/>
  <c r="D32" i="10"/>
  <c r="G30" i="10"/>
  <c r="G32" i="10"/>
  <c r="Q30" i="9"/>
  <c r="Q29" i="9"/>
  <c r="Q54" i="9"/>
  <c r="Q53" i="9"/>
  <c r="H80" i="28"/>
  <c r="I80" i="28" s="1"/>
  <c r="G81" i="28"/>
  <c r="F14" i="28"/>
  <c r="G14" i="28" s="1"/>
  <c r="H14" i="28"/>
  <c r="N8" i="21"/>
  <c r="J27" i="30" l="1"/>
  <c r="Q31" i="9"/>
  <c r="B14" i="16"/>
  <c r="Q18" i="9"/>
  <c r="Q16" i="17"/>
  <c r="M48" i="17"/>
  <c r="F86" i="17" s="1"/>
  <c r="Q55" i="9"/>
  <c r="U39" i="16"/>
  <c r="W39" i="16" s="1"/>
  <c r="T40" i="16"/>
  <c r="T38" i="16"/>
  <c r="Q43" i="9"/>
  <c r="Q42" i="9"/>
  <c r="J41" i="10"/>
  <c r="J43" i="10"/>
  <c r="E41" i="10"/>
  <c r="E43" i="10"/>
  <c r="J51" i="10"/>
  <c r="C51" i="10"/>
  <c r="B51" i="10"/>
  <c r="I51" i="10"/>
  <c r="D51" i="10"/>
  <c r="H51" i="10"/>
  <c r="E51" i="10"/>
  <c r="F51" i="10"/>
  <c r="G51" i="10"/>
  <c r="F13" i="16"/>
  <c r="H41" i="10"/>
  <c r="H43" i="10"/>
  <c r="D41" i="10"/>
  <c r="D43" i="10"/>
  <c r="C68" i="9"/>
  <c r="D68" i="9" s="1"/>
  <c r="E68" i="9" s="1"/>
  <c r="F68" i="9" s="1"/>
  <c r="G68" i="9" s="1"/>
  <c r="H68" i="9" s="1"/>
  <c r="I68" i="9" s="1"/>
  <c r="J68" i="9" s="1"/>
  <c r="K68" i="9" s="1"/>
  <c r="L68" i="9" s="1"/>
  <c r="M68" i="9" s="1"/>
  <c r="N68" i="9" s="1"/>
  <c r="O68" i="9" s="1"/>
  <c r="O67" i="9"/>
  <c r="F41" i="10"/>
  <c r="F43" i="10"/>
  <c r="B41" i="10"/>
  <c r="B43" i="10"/>
  <c r="C41" i="10"/>
  <c r="C43" i="10"/>
  <c r="B20" i="21"/>
  <c r="G11" i="22"/>
  <c r="J11" i="22"/>
  <c r="K11" i="22" s="1"/>
  <c r="I41" i="10"/>
  <c r="I43" i="10"/>
  <c r="G41" i="10"/>
  <c r="G43" i="10"/>
  <c r="C15" i="28"/>
  <c r="D15" i="28" s="1"/>
  <c r="C14" i="16" l="1"/>
  <c r="C16" i="16" s="1"/>
  <c r="C22" i="16" s="1"/>
  <c r="Q32" i="9"/>
  <c r="Q56" i="9"/>
  <c r="E14" i="16"/>
  <c r="E16" i="16" s="1"/>
  <c r="E22" i="16" s="1"/>
  <c r="Q23" i="17"/>
  <c r="Q24" i="17" s="1"/>
  <c r="N49" i="17"/>
  <c r="G80" i="17" s="1"/>
  <c r="J80" i="17" s="1"/>
  <c r="E14" i="30" s="1"/>
  <c r="E18" i="30" s="1"/>
  <c r="B16" i="16"/>
  <c r="B22" i="16" s="1"/>
  <c r="Q44" i="9"/>
  <c r="U38" i="16"/>
  <c r="V38" i="16"/>
  <c r="V40" i="16"/>
  <c r="T41" i="16"/>
  <c r="U40" i="16"/>
  <c r="I52" i="10"/>
  <c r="I54" i="10"/>
  <c r="Q63" i="9"/>
  <c r="Q64" i="9" s="1"/>
  <c r="F80" i="9"/>
  <c r="F81" i="9" s="1"/>
  <c r="B52" i="10"/>
  <c r="B54" i="10"/>
  <c r="H52" i="10"/>
  <c r="H54" i="10"/>
  <c r="C52" i="10"/>
  <c r="C54" i="10"/>
  <c r="F52" i="10"/>
  <c r="F54" i="10"/>
  <c r="G12" i="22"/>
  <c r="J12" i="22"/>
  <c r="K12" i="22" s="1"/>
  <c r="E52" i="10"/>
  <c r="E54" i="10"/>
  <c r="G52" i="10"/>
  <c r="G54" i="10"/>
  <c r="D52" i="10"/>
  <c r="D54" i="10"/>
  <c r="J52" i="10"/>
  <c r="J54" i="10"/>
  <c r="F15" i="28"/>
  <c r="G15" i="28" s="1"/>
  <c r="H15" i="28"/>
  <c r="B19" i="10" l="1"/>
  <c r="J19" i="10" s="1"/>
  <c r="Q45" i="9"/>
  <c r="D14" i="16"/>
  <c r="W38" i="16"/>
  <c r="T42" i="16"/>
  <c r="U41" i="16"/>
  <c r="V41" i="16"/>
  <c r="W40" i="16"/>
  <c r="F19" i="10"/>
  <c r="E19" i="10"/>
  <c r="Q66" i="9"/>
  <c r="Q65" i="9"/>
  <c r="G13" i="22"/>
  <c r="J13" i="22"/>
  <c r="K13" i="22" s="1"/>
  <c r="C16" i="28"/>
  <c r="D16" i="28" s="1"/>
  <c r="H16" i="28" s="1"/>
  <c r="F16" i="28"/>
  <c r="G16" i="28" s="1"/>
  <c r="D19" i="10" l="1"/>
  <c r="B22" i="10"/>
  <c r="G19" i="10"/>
  <c r="G22" i="10" s="1"/>
  <c r="I19" i="10"/>
  <c r="I20" i="10" s="1"/>
  <c r="C19" i="10"/>
  <c r="C22" i="10" s="1"/>
  <c r="H19" i="10"/>
  <c r="H22" i="10" s="1"/>
  <c r="B20" i="10"/>
  <c r="Q67" i="9"/>
  <c r="F14" i="16" s="1"/>
  <c r="F16" i="16" s="1"/>
  <c r="F22" i="16" s="1"/>
  <c r="D16" i="16"/>
  <c r="D22" i="16" s="1"/>
  <c r="W41" i="16"/>
  <c r="V42" i="16"/>
  <c r="T43" i="16"/>
  <c r="U42" i="16"/>
  <c r="E22" i="10"/>
  <c r="E20" i="10"/>
  <c r="J10" i="22"/>
  <c r="K10" i="22" s="1"/>
  <c r="K14" i="22" s="1"/>
  <c r="G10" i="22"/>
  <c r="G20" i="10"/>
  <c r="D22" i="10"/>
  <c r="D20" i="10"/>
  <c r="F22" i="10"/>
  <c r="F20" i="10"/>
  <c r="J20" i="10"/>
  <c r="J22" i="10"/>
  <c r="C17" i="28"/>
  <c r="D17" i="28" s="1"/>
  <c r="F17" i="28"/>
  <c r="G17" i="28" s="1"/>
  <c r="C20" i="10" l="1"/>
  <c r="I22" i="10"/>
  <c r="H20" i="10"/>
  <c r="Q68" i="9"/>
  <c r="W42" i="16"/>
  <c r="T44" i="16"/>
  <c r="V43" i="16"/>
  <c r="U43" i="16"/>
  <c r="H17" i="28"/>
  <c r="C18" i="28"/>
  <c r="F18" i="28" s="1"/>
  <c r="G18" i="28" s="1"/>
  <c r="W43" i="16" l="1"/>
  <c r="U44" i="16"/>
  <c r="T45" i="16"/>
  <c r="V44" i="16"/>
  <c r="D18" i="28"/>
  <c r="H18" i="28"/>
  <c r="C19" i="28"/>
  <c r="F19" i="28"/>
  <c r="G19" i="28" s="1"/>
  <c r="U45" i="16" l="1"/>
  <c r="V45" i="16"/>
  <c r="W44" i="16"/>
  <c r="D19" i="28"/>
  <c r="H19" i="28" s="1"/>
  <c r="C20" i="28"/>
  <c r="F20" i="28"/>
  <c r="G20" i="28" s="1"/>
  <c r="W45" i="16" l="1"/>
  <c r="D20" i="28"/>
  <c r="H20" i="28" s="1"/>
  <c r="C21" i="28"/>
  <c r="F21" i="28"/>
  <c r="G21" i="28" s="1"/>
  <c r="D21" i="28" l="1"/>
  <c r="H21" i="28" s="1"/>
  <c r="C22" i="28"/>
  <c r="F22" i="28"/>
  <c r="G22" i="28" s="1"/>
  <c r="D22" i="28" l="1"/>
  <c r="H22" i="28" s="1"/>
  <c r="C23" i="28"/>
  <c r="F23" i="28"/>
  <c r="G23" i="28" s="1"/>
  <c r="D23" i="28" l="1"/>
  <c r="H23" i="28" s="1"/>
  <c r="C24" i="28" s="1"/>
  <c r="F24" i="28" s="1"/>
  <c r="G24" i="28" s="1"/>
  <c r="D24" i="28" l="1"/>
  <c r="H24" i="28" s="1"/>
  <c r="C25" i="28"/>
  <c r="F25" i="28"/>
  <c r="G25" i="28" s="1"/>
  <c r="D25" i="28" l="1"/>
  <c r="H25" i="28" s="1"/>
  <c r="C26" i="28"/>
  <c r="F26" i="28"/>
  <c r="G26" i="28" s="1"/>
  <c r="D26" i="28" l="1"/>
  <c r="H26" i="28" s="1"/>
  <c r="C27" i="28"/>
  <c r="F27" i="28"/>
  <c r="G27" i="28" s="1"/>
  <c r="D27" i="28" l="1"/>
  <c r="H27" i="28" s="1"/>
  <c r="C28" i="28"/>
  <c r="F28" i="28"/>
  <c r="G28" i="28" s="1"/>
  <c r="D28" i="28" l="1"/>
  <c r="H28" i="28" s="1"/>
  <c r="C29" i="28"/>
  <c r="F29" i="28"/>
  <c r="G29" i="28" s="1"/>
  <c r="D29" i="28" l="1"/>
  <c r="H29" i="28" s="1"/>
  <c r="C30" i="28"/>
  <c r="F30" i="28"/>
  <c r="G30" i="28" s="1"/>
  <c r="D30" i="28" l="1"/>
  <c r="H30" i="28" s="1"/>
  <c r="C31" i="28"/>
  <c r="F31" i="28" s="1"/>
  <c r="G31" i="28" s="1"/>
  <c r="D31" i="28" l="1"/>
  <c r="H31" i="28" s="1"/>
  <c r="C32" i="28"/>
  <c r="F32" i="28"/>
  <c r="G32" i="28" s="1"/>
  <c r="D32" i="28" l="1"/>
  <c r="H32" i="28" s="1"/>
  <c r="C33" i="28"/>
  <c r="F33" i="28"/>
  <c r="G33" i="28" s="1"/>
  <c r="D33" i="28" l="1"/>
  <c r="H33" i="28"/>
  <c r="C34" i="28"/>
  <c r="F34" i="28"/>
  <c r="G34" i="28" s="1"/>
  <c r="D34" i="28" l="1"/>
  <c r="H34" i="28" s="1"/>
  <c r="C35" i="28"/>
  <c r="F35" i="28"/>
  <c r="G35" i="28" s="1"/>
  <c r="D35" i="28" l="1"/>
  <c r="H35" i="28" s="1"/>
  <c r="C36" i="28"/>
  <c r="F36" i="28" s="1"/>
  <c r="G36" i="28" s="1"/>
  <c r="D36" i="28" l="1"/>
  <c r="H36" i="28"/>
  <c r="C37" i="28"/>
  <c r="F37" i="28"/>
  <c r="G37" i="28" s="1"/>
  <c r="D37" i="28" l="1"/>
  <c r="H37" i="28"/>
  <c r="C38" i="28"/>
  <c r="F38" i="28"/>
  <c r="G38" i="28" s="1"/>
  <c r="D38" i="28" l="1"/>
  <c r="H38" i="28" s="1"/>
  <c r="C39" i="28"/>
  <c r="F39" i="28" s="1"/>
  <c r="G39" i="28" s="1"/>
  <c r="D39" i="28" l="1"/>
  <c r="H39" i="28"/>
  <c r="C40" i="28"/>
  <c r="F40" i="28"/>
  <c r="D40" i="28" l="1"/>
  <c r="G40" i="28"/>
  <c r="H40" i="28" l="1"/>
  <c r="C41" i="28" l="1"/>
  <c r="D41" i="28"/>
  <c r="F41" i="28"/>
  <c r="G41" i="28"/>
  <c r="H41" i="28" l="1"/>
  <c r="C42" i="28" l="1"/>
  <c r="D42" i="28"/>
  <c r="F42" i="28"/>
  <c r="G42" i="28"/>
  <c r="H42" i="28" l="1"/>
  <c r="C43" i="28" l="1"/>
  <c r="D43" i="28"/>
  <c r="F43" i="28"/>
  <c r="F59" i="28" s="1"/>
  <c r="G59" i="28" s="1"/>
  <c r="G43" i="28"/>
  <c r="D59" i="28" l="1"/>
  <c r="H43" i="28"/>
  <c r="C44" i="28" l="1"/>
  <c r="D44" i="28"/>
  <c r="F44" i="28"/>
  <c r="G44" i="28" s="1"/>
  <c r="H44" i="28" l="1"/>
  <c r="C45" i="28" l="1"/>
  <c r="D45" i="28"/>
  <c r="F45" i="28"/>
  <c r="G45" i="28" s="1"/>
  <c r="H45" i="28"/>
  <c r="C46" i="28" l="1"/>
  <c r="D46" i="28" s="1"/>
  <c r="F46" i="28" l="1"/>
  <c r="G46" i="28" s="1"/>
  <c r="H46" i="28"/>
  <c r="C47" i="28" l="1"/>
  <c r="D47" i="28" s="1"/>
  <c r="F47" i="28" l="1"/>
  <c r="G47" i="28" s="1"/>
  <c r="H47" i="28"/>
  <c r="C48" i="28" l="1"/>
  <c r="D48" i="28" s="1"/>
  <c r="F48" i="28" l="1"/>
  <c r="G48" i="28" s="1"/>
  <c r="H48" i="28"/>
  <c r="C49" i="28" l="1"/>
  <c r="D49" i="28" s="1"/>
  <c r="F49" i="28" l="1"/>
  <c r="G49" i="28" s="1"/>
  <c r="H49" i="28"/>
  <c r="C50" i="28" l="1"/>
  <c r="D50" i="28" s="1"/>
  <c r="F50" i="28" l="1"/>
  <c r="G50" i="28" s="1"/>
  <c r="H50" i="28"/>
  <c r="C51" i="28" l="1"/>
  <c r="D51" i="28" s="1"/>
  <c r="F51" i="28" l="1"/>
  <c r="G51" i="28" s="1"/>
  <c r="H51" i="28"/>
  <c r="C52" i="28" l="1"/>
  <c r="D52" i="28" s="1"/>
  <c r="F52" i="28" l="1"/>
  <c r="G52" i="28" s="1"/>
  <c r="H52" i="28"/>
  <c r="C53" i="28" l="1"/>
  <c r="D53" i="28" s="1"/>
  <c r="F53" i="28" l="1"/>
  <c r="G53" i="28" s="1"/>
  <c r="H53" i="28"/>
  <c r="C54" i="28" l="1"/>
  <c r="D54" i="28" s="1"/>
  <c r="F54" i="28" l="1"/>
  <c r="G54" i="28" s="1"/>
  <c r="H54" i="28"/>
  <c r="C55" i="28" l="1"/>
  <c r="D55" i="28" s="1"/>
  <c r="F55" i="28" l="1"/>
  <c r="G55" i="28" s="1"/>
  <c r="H55" i="28"/>
  <c r="C56" i="28" l="1"/>
  <c r="D56" i="28" s="1"/>
  <c r="F56" i="28" l="1"/>
  <c r="G56" i="28" s="1"/>
  <c r="H56" i="28"/>
  <c r="E41" i="19" l="1"/>
  <c r="E42" i="19" s="1"/>
  <c r="J7" i="21" l="1"/>
  <c r="J4" i="21" s="1"/>
  <c r="J11" i="21" s="1"/>
  <c r="J12" i="21" s="1"/>
  <c r="C7" i="21"/>
  <c r="C4" i="21" s="1"/>
  <c r="C11" i="21" s="1"/>
  <c r="C12" i="21" s="1"/>
  <c r="D7" i="21"/>
  <c r="D4" i="21" s="1"/>
  <c r="D11" i="21" s="1"/>
  <c r="D12" i="21" s="1"/>
  <c r="E7" i="21"/>
  <c r="E4" i="21" s="1"/>
  <c r="E11" i="21" s="1"/>
  <c r="E12" i="21" s="1"/>
  <c r="F7" i="21" l="1"/>
  <c r="F4" i="21" s="1"/>
  <c r="F11" i="21" s="1"/>
  <c r="F12" i="21" s="1"/>
  <c r="G7" i="21"/>
  <c r="G4" i="21" s="1"/>
  <c r="G11" i="21" s="1"/>
  <c r="G12" i="21" s="1"/>
  <c r="M7" i="21"/>
  <c r="M4" i="21" s="1"/>
  <c r="M11" i="21" s="1"/>
  <c r="M12" i="21" s="1"/>
  <c r="H7" i="21"/>
  <c r="H4" i="21" s="1"/>
  <c r="H11" i="21" s="1"/>
  <c r="H12" i="21" s="1"/>
  <c r="B7" i="21"/>
  <c r="L7" i="21"/>
  <c r="L4" i="21" s="1"/>
  <c r="L11" i="21" s="1"/>
  <c r="L12" i="21" s="1"/>
  <c r="I7" i="21"/>
  <c r="I4" i="21" s="1"/>
  <c r="I11" i="21" s="1"/>
  <c r="I12" i="21" s="1"/>
  <c r="K7" i="21"/>
  <c r="K4" i="21" s="1"/>
  <c r="K11" i="21" s="1"/>
  <c r="K12" i="21" s="1"/>
  <c r="B4" i="21"/>
  <c r="B11" i="21" s="1"/>
  <c r="B12" i="21" s="1"/>
  <c r="N7" i="21" l="1"/>
  <c r="B19" i="21" s="1"/>
  <c r="B16" i="21" s="1"/>
  <c r="B23" i="21" s="1"/>
  <c r="M15" i="21"/>
  <c r="M17" i="21" s="1"/>
  <c r="N4" i="21" l="1"/>
  <c r="N11" i="21" s="1"/>
  <c r="N34" i="17" s="1"/>
  <c r="G68" i="17" s="1"/>
  <c r="I67" i="17" s="1"/>
  <c r="N15" i="21"/>
  <c r="N17" i="21" s="1"/>
  <c r="G8" i="22"/>
  <c r="G14" i="22" s="1"/>
  <c r="M33" i="17"/>
  <c r="F62" i="17" s="1"/>
  <c r="J8" i="22"/>
  <c r="J14" i="22" s="1"/>
  <c r="F14" i="22"/>
  <c r="N37" i="17"/>
  <c r="G84" i="17" s="1"/>
  <c r="J61" i="17" l="1"/>
  <c r="N40" i="17"/>
  <c r="G71" i="17" s="1"/>
  <c r="I71" i="17" s="1"/>
  <c r="R20" i="17"/>
  <c r="Q25" i="17" s="1"/>
  <c r="H17" i="22"/>
  <c r="H19" i="22"/>
  <c r="R30" i="17" l="1"/>
  <c r="N52" i="17"/>
  <c r="M51" i="17"/>
  <c r="F87" i="17" s="1"/>
  <c r="I84" i="17" l="1"/>
  <c r="I90" i="17" s="1"/>
  <c r="F90" i="17"/>
  <c r="J89" i="17"/>
  <c r="G56" i="17"/>
  <c r="J56" i="17" s="1"/>
  <c r="G54" i="17" l="1"/>
  <c r="E30" i="30"/>
  <c r="J54" i="17" l="1"/>
  <c r="G90" i="17"/>
  <c r="G91" i="17" s="1"/>
  <c r="G92" i="17" s="1"/>
  <c r="E28" i="30" l="1"/>
  <c r="E31" i="30" s="1"/>
  <c r="E33" i="30" s="1"/>
  <c r="E34" i="30" s="1"/>
  <c r="J90" i="17"/>
  <c r="J91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tc={5EB25D29-776D-46F8-95EF-0D68C81C48CC}</author>
    <author>tc={3E86EDE7-21C5-4C1D-BC5F-1F7B6FB91A3A}</author>
  </authors>
  <commentList>
    <comment ref="B9" authorId="0" shapeId="0" xr:uid="{5EB25D29-776D-46F8-95EF-0D68C81C48CC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Saldos finales de ing y egre
</t>
      </text>
    </comment>
    <comment ref="Q14" authorId="1" shapeId="0" xr:uid="{3E86EDE7-21C5-4C1D-BC5F-1F7B6FB91A3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Resta de impuestos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tc={72A65252-981C-4627-A7F6-3D057B578FF9}</author>
  </authors>
  <commentList>
    <comment ref="M21" authorId="0" shapeId="0" xr:uid="{72A65252-981C-4627-A7F6-3D057B578FF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Por el aumento de volumen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tc={A02D60D9-0692-47B2-B512-3136C1722BA7}</author>
    <author>tc={CA9F6547-5C5B-458F-B4E0-42F0BE59634A}</author>
  </authors>
  <commentList>
    <comment ref="E8" authorId="0" shapeId="0" xr:uid="{A02D60D9-0692-47B2-B512-3136C1722BA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Pago de la deuda a Fira/ crédito refaccionario/ apalancamiento</t>
      </text>
    </comment>
    <comment ref="B9" authorId="1" shapeId="0" xr:uid="{CA9F6547-5C5B-458F-B4E0-42F0BE59634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Interes por mes / entre tasa anual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tc={5017155A-1EF3-4770-A5CB-F383F6261C97}</author>
  </authors>
  <commentList>
    <comment ref="A4" authorId="0" shapeId="0" xr:uid="{5017155A-1EF3-4770-A5CB-F383F6261C9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Cuantas unidades tenemos que vender para que la utilidad sea cero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tc={FB2CBF77-E66C-4984-8D46-E14C05CB38B0}</author>
    <author>tc={3D03D216-9363-4C21-91FF-A9E021AA02AD}</author>
  </authors>
  <commentList>
    <comment ref="A1" authorId="0" shapeId="0" xr:uid="{FB2CBF77-E66C-4984-8D46-E14C05CB38B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Si la empresa es capaz de soportar los cambios</t>
      </text>
    </comment>
    <comment ref="B13" authorId="1" shapeId="0" xr:uid="{3D03D216-9363-4C21-91FF-A9E021AA02A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Indicador finan. Si es menos a 1.5 no va a soportar cambios de ventas y costos
Respuesta:
    Para estas proyecciones no se muestra desastibilización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tc={C9488CE7-F6C9-4FEC-BDB3-C1AA3F8084D5}</author>
  </authors>
  <commentList>
    <comment ref="H11" authorId="0" shapeId="0" xr:uid="{C9488CE7-F6C9-4FEC-BDB3-C1AA3F8084D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Aumento 9% de precio de venta por la inflación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tc={DD9188ED-C5BF-4C57-86E2-22F7985D97FF}</author>
    <author>usuario01</author>
  </authors>
  <commentList>
    <comment ref="E6" authorId="0" shapeId="0" xr:uid="{DD9188ED-C5BF-4C57-86E2-22F7985D97FF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Lo que resyta ya final de depre</t>
      </text>
    </comment>
    <comment ref="G17" authorId="1" shapeId="0" xr:uid="{A58C20A3-2B2B-455B-8156-3DD8A8886D3A}">
      <text>
        <r>
          <rPr>
            <b/>
            <sz val="8"/>
            <rFont val="Tahoma"/>
            <family val="2"/>
          </rPr>
          <t>VALOR ACTUAL NETO</t>
        </r>
      </text>
    </comment>
    <comment ref="G18" authorId="1" shapeId="0" xr:uid="{FBB8B67C-A5A0-42EB-94E5-1704DDE5335F}">
      <text>
        <r>
          <rPr>
            <b/>
            <sz val="8"/>
            <rFont val="Tahoma"/>
            <family val="2"/>
          </rPr>
          <t>TASA INTERNA DE RETORNO</t>
        </r>
      </text>
    </comment>
    <comment ref="G19" authorId="1" shapeId="0" xr:uid="{469F6ADA-F5CC-41D3-A8DE-A174B31262B7}">
      <text>
        <r>
          <rPr>
            <b/>
            <sz val="8"/>
            <rFont val="Tahoma"/>
            <family val="2"/>
          </rPr>
          <t>RELACION BENEFICIO-COSTO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<sst xmlns="http://schemas.openxmlformats.org/spreadsheetml/2006/main" count="1173" uniqueCount="595">
  <si>
    <t>ESTUDIO FINANCIERO</t>
  </si>
  <si>
    <t>DATOS ADICIONALES</t>
  </si>
  <si>
    <t>Inflación</t>
  </si>
  <si>
    <t>Anual</t>
  </si>
  <si>
    <t>Incremento salarial</t>
  </si>
  <si>
    <t>Incremento volumen</t>
  </si>
  <si>
    <t>cada 3 meses durante el primer año</t>
  </si>
  <si>
    <t>Incremento precio unitario de venta</t>
  </si>
  <si>
    <t>A partir del segundo semestre del primer año y durante los sig años</t>
  </si>
  <si>
    <t>Depreciación en línea recta</t>
  </si>
  <si>
    <t>LISR</t>
  </si>
  <si>
    <t>Amortización de la deuda de acuerdo a la</t>
  </si>
  <si>
    <t>dependencia que otorgará el financiamiento</t>
  </si>
  <si>
    <t>ESTRUCTURA FINANCIERA</t>
  </si>
  <si>
    <t>PROYECTO: Las Amarguitas Fabrica de Cervezas y Destilados</t>
  </si>
  <si>
    <t>SOCIEDAD RESPONSABILIDAD LIMITADA</t>
  </si>
  <si>
    <t>BENEFICIARIOS: PABLO PUIG TRESS, HUGO PUIG TRESS.</t>
  </si>
  <si>
    <t>DESGLOSE   DE   INVERSION   PARA  UN AÑO</t>
  </si>
  <si>
    <t xml:space="preserve">                  CONCEPTO</t>
  </si>
  <si>
    <t>UNIDAD DE</t>
  </si>
  <si>
    <t>CANTIDAD</t>
  </si>
  <si>
    <t xml:space="preserve">PRECIO </t>
  </si>
  <si>
    <t>COSTO</t>
  </si>
  <si>
    <t xml:space="preserve">              APORTACION</t>
  </si>
  <si>
    <t>Monto total</t>
  </si>
  <si>
    <t>$ SE</t>
  </si>
  <si>
    <t>%</t>
  </si>
  <si>
    <t>$ GRUPO</t>
  </si>
  <si>
    <t>TOTAL</t>
  </si>
  <si>
    <t>MEDIDA</t>
  </si>
  <si>
    <t>UNITARIO</t>
  </si>
  <si>
    <t>DEPENDENCIA</t>
  </si>
  <si>
    <t>GRUPO</t>
  </si>
  <si>
    <t>Capital de Trabajo</t>
  </si>
  <si>
    <t>CAPITAL DE TRABAJO</t>
  </si>
  <si>
    <t>Inversión fija</t>
  </si>
  <si>
    <t>MALTA BASE</t>
  </si>
  <si>
    <t>KG</t>
  </si>
  <si>
    <t>Inversión diferida</t>
  </si>
  <si>
    <t>MALTAS ESPECIALES</t>
  </si>
  <si>
    <t>LUPULO</t>
  </si>
  <si>
    <t>LEVADURA</t>
  </si>
  <si>
    <t xml:space="preserve">AGUA </t>
  </si>
  <si>
    <t>LITROS</t>
  </si>
  <si>
    <t>ENVASES</t>
  </si>
  <si>
    <t>PZ</t>
  </si>
  <si>
    <t>CLARIFICANTE</t>
  </si>
  <si>
    <t>INVERSION FIJA</t>
  </si>
  <si>
    <t>Plataforma y Escalera de Operación</t>
  </si>
  <si>
    <t>Pz</t>
  </si>
  <si>
    <t>Mash Tun</t>
  </si>
  <si>
    <t>Lauter Tun</t>
  </si>
  <si>
    <t>Kettle</t>
  </si>
  <si>
    <t>Tanque con Agitador</t>
  </si>
  <si>
    <t>Tanque de Agua</t>
  </si>
  <si>
    <t>Intercambiador de Calor</t>
  </si>
  <si>
    <t>Sistema de Tuberías y Bomba Sanitaria</t>
  </si>
  <si>
    <t>Subtotal</t>
  </si>
  <si>
    <t>INVERSION DIFERIDA</t>
  </si>
  <si>
    <t>CAPACITACIÓN</t>
  </si>
  <si>
    <t>servicio</t>
  </si>
  <si>
    <t xml:space="preserve">TOTAL </t>
  </si>
  <si>
    <t xml:space="preserve">PORCENTAJE </t>
  </si>
  <si>
    <t>NOTAS:</t>
  </si>
  <si>
    <t>CRONOGRAMA DE ACTIVIDADES</t>
  </si>
  <si>
    <t>PROYECTO:</t>
  </si>
  <si>
    <t>SOCIEDAD</t>
  </si>
  <si>
    <t xml:space="preserve">BENEFICIARIOS: </t>
  </si>
  <si>
    <t xml:space="preserve">               CRONOGRAMA DE ACTIVIDADES</t>
  </si>
  <si>
    <t>MES</t>
  </si>
  <si>
    <t>CONCEPTO</t>
  </si>
  <si>
    <t xml:space="preserve">               CRONOGRAMA DE ACTIVIDADES SEGUNDO AÑO</t>
  </si>
  <si>
    <t xml:space="preserve">               CRONOGRAMA DE ACTIVIDADES TERCER AÑO</t>
  </si>
  <si>
    <t xml:space="preserve">               CRONOGRAMA DE ACTIVIDADES CUARTO AÑO</t>
  </si>
  <si>
    <t>ESTRUCTURA DE INGRESOS Y EGERESOS</t>
  </si>
  <si>
    <t>SITUACION FINANCIERA ACTUAL Y PROYECTADA</t>
  </si>
  <si>
    <t xml:space="preserve"> FLUJO  DE I N G R E S O S   Y   E G R E S O S   </t>
  </si>
  <si>
    <t>PRIMER AÑO DE INVERSIÓN</t>
  </si>
  <si>
    <t>C O N C E P T O</t>
  </si>
  <si>
    <t>1 MES</t>
  </si>
  <si>
    <t>2 MES</t>
  </si>
  <si>
    <t>3 MES</t>
  </si>
  <si>
    <t>4 MES</t>
  </si>
  <si>
    <t>5 MES</t>
  </si>
  <si>
    <t>6 MES</t>
  </si>
  <si>
    <t>7 MES</t>
  </si>
  <si>
    <t>8 MES</t>
  </si>
  <si>
    <t>9 MES</t>
  </si>
  <si>
    <t>10 MES</t>
  </si>
  <si>
    <t>11 MES</t>
  </si>
  <si>
    <t>12 MES</t>
  </si>
  <si>
    <t xml:space="preserve">TOTAL DE INGRESOS </t>
  </si>
  <si>
    <t>VENTAS</t>
  </si>
  <si>
    <t xml:space="preserve">TOTAL DE EGRESOS </t>
  </si>
  <si>
    <t>VARIABLE</t>
  </si>
  <si>
    <t>FIJOS</t>
  </si>
  <si>
    <t xml:space="preserve">SALDO                  </t>
  </si>
  <si>
    <t>SALDO ACUMULADO</t>
  </si>
  <si>
    <t>PROYECCION  FINANCIERA ANUAL</t>
  </si>
  <si>
    <t>SEGUNDO AÑO DE INVERSIÓN</t>
  </si>
  <si>
    <t xml:space="preserve">EGRESOS </t>
  </si>
  <si>
    <t>TERCER AÑO DE INVERSIÓN</t>
  </si>
  <si>
    <t>CAPACIDAD DE PAGO</t>
  </si>
  <si>
    <t>PRMER AÑO</t>
  </si>
  <si>
    <t>SEGUNDO AÑO</t>
  </si>
  <si>
    <t>TERCER AÑO</t>
  </si>
  <si>
    <t>CUARTO AÑO</t>
  </si>
  <si>
    <t>QUINTO AÑO</t>
  </si>
  <si>
    <t>INGRESOS</t>
  </si>
  <si>
    <t>EGRESOS</t>
  </si>
  <si>
    <t>COSTOS DE PRODUCCION AÑO 1 sin inversión</t>
  </si>
  <si>
    <t>VARIABLES</t>
  </si>
  <si>
    <t>TOTAL VARIABLES</t>
  </si>
  <si>
    <t>Materia prima</t>
  </si>
  <si>
    <t>Mano de obra directa</t>
  </si>
  <si>
    <t>Costos Indirectos de Fabricación</t>
  </si>
  <si>
    <t>TOTAL FIJOS</t>
  </si>
  <si>
    <t>Gastos de administración</t>
  </si>
  <si>
    <t>Gastos de venta</t>
  </si>
  <si>
    <t>TOTAL COSTO OPERACIÓN</t>
  </si>
  <si>
    <t>Antes de la inversión</t>
  </si>
  <si>
    <t>AÑO 0</t>
  </si>
  <si>
    <t>AÑO 1</t>
  </si>
  <si>
    <t>AÑO 2</t>
  </si>
  <si>
    <t>AÑO3</t>
  </si>
  <si>
    <t>AÑO 4</t>
  </si>
  <si>
    <t>AÑO 5</t>
  </si>
  <si>
    <t xml:space="preserve">Costos promedio por litro de cerveza </t>
  </si>
  <si>
    <t>Precio de venta</t>
  </si>
  <si>
    <t>Utilidad bruta por litro</t>
  </si>
  <si>
    <t>Después de la inversión</t>
  </si>
  <si>
    <t xml:space="preserve">COSTOS DE PRODUCCION AÑO 1 </t>
  </si>
  <si>
    <t xml:space="preserve">COSTOS DE PRODUCCION AÑO 2 </t>
  </si>
  <si>
    <t xml:space="preserve">COSTOS DE PRODUCCION AÑO 3 </t>
  </si>
  <si>
    <t xml:space="preserve">COSTOS DE PRODUCCION AÑO 4 </t>
  </si>
  <si>
    <t xml:space="preserve">COSTOS DE PRODUCCION AÑO 5 </t>
  </si>
  <si>
    <t>MEMORIAS DE INGRESOS</t>
  </si>
  <si>
    <t>CONCEPTOS</t>
  </si>
  <si>
    <t xml:space="preserve">INGRESOS POR VENTA MENSUAL AÑO 1 </t>
  </si>
  <si>
    <t>VENTAS segun el producto</t>
  </si>
  <si>
    <t xml:space="preserve">ANUAL </t>
  </si>
  <si>
    <t>Cerveza Regia</t>
  </si>
  <si>
    <t>Cerveza Golden</t>
  </si>
  <si>
    <t>Cerveza Honey</t>
  </si>
  <si>
    <t>Cerveza Milf</t>
  </si>
  <si>
    <t>Cerveza Dark</t>
  </si>
  <si>
    <t>Cerveza Ver-got</t>
  </si>
  <si>
    <t>TOTAL DE INGRESOS</t>
  </si>
  <si>
    <t>MEMORIAS DE CALCULO GASTOS FIJOS</t>
  </si>
  <si>
    <t>MEMORIA DE CALCULO GASTOS DE ADMINISTRACIÓN</t>
  </si>
  <si>
    <t>MESES</t>
  </si>
  <si>
    <t>CANT</t>
  </si>
  <si>
    <t>C.U.</t>
  </si>
  <si>
    <t>Paquete de Internet y telefonía con ADM factura</t>
  </si>
  <si>
    <t>Servicio</t>
  </si>
  <si>
    <t>Gerente de Finanzas</t>
  </si>
  <si>
    <t xml:space="preserve">Meses Trabajados </t>
  </si>
  <si>
    <t>Gerente General</t>
  </si>
  <si>
    <t>MEMORIA DE CALCULO GASTOS DE VENTA</t>
  </si>
  <si>
    <t>Gerencia de Ventas</t>
  </si>
  <si>
    <t>Meses Trabajados</t>
  </si>
  <si>
    <t xml:space="preserve">Publicidad </t>
  </si>
  <si>
    <t>tiempo (meses)</t>
  </si>
  <si>
    <t xml:space="preserve">Almacenamiento </t>
  </si>
  <si>
    <t>MEMORIA  DE CALCULO GASTOS FIJOS PARA LA INVERSION FIJA</t>
  </si>
  <si>
    <t xml:space="preserve">Gastos de administración </t>
  </si>
  <si>
    <t>Meses Operados</t>
  </si>
  <si>
    <t xml:space="preserve">gastos de venta </t>
  </si>
  <si>
    <t xml:space="preserve">Meses Operados </t>
  </si>
  <si>
    <t>TOTAL GASTOS FIJOS</t>
  </si>
  <si>
    <t>MEMORIAS DE CALCULO COSTOS VARIABLES</t>
  </si>
  <si>
    <t xml:space="preserve">MEMORIA DE CALCULO MATERIA PRIMA  E INSUMOS  </t>
  </si>
  <si>
    <t>Lote 1 (Regia, Golden y Milf)</t>
  </si>
  <si>
    <t xml:space="preserve">Malta </t>
  </si>
  <si>
    <t xml:space="preserve">Kilos </t>
  </si>
  <si>
    <t>Lote 2 (Dark, Ver-Got y Honey)</t>
  </si>
  <si>
    <t>Lupulo</t>
  </si>
  <si>
    <t xml:space="preserve">Onzas </t>
  </si>
  <si>
    <t>Levadura</t>
  </si>
  <si>
    <t xml:space="preserve">Gramos </t>
  </si>
  <si>
    <t xml:space="preserve">Levadura </t>
  </si>
  <si>
    <t xml:space="preserve">Agua </t>
  </si>
  <si>
    <t>Litros</t>
  </si>
  <si>
    <t xml:space="preserve">Cascara de naranja </t>
  </si>
  <si>
    <t>Caramelo</t>
  </si>
  <si>
    <t>Cascara de limón</t>
  </si>
  <si>
    <t>Durazno (congelado)</t>
  </si>
  <si>
    <t xml:space="preserve">Especias </t>
  </si>
  <si>
    <t>Pasas</t>
  </si>
  <si>
    <t xml:space="preserve">Gallletas </t>
  </si>
  <si>
    <t xml:space="preserve">Miel </t>
  </si>
  <si>
    <t>Cafe Tostado</t>
  </si>
  <si>
    <t xml:space="preserve">Álmivar </t>
  </si>
  <si>
    <t>litros</t>
  </si>
  <si>
    <t>Cacao Tostado</t>
  </si>
  <si>
    <t xml:space="preserve">Almendra </t>
  </si>
  <si>
    <t>MEMORIA DE CALCULO DE MOD</t>
  </si>
  <si>
    <t>Maestro cervecero</t>
  </si>
  <si>
    <t>Auxiliar de producción</t>
  </si>
  <si>
    <t>Total de Materia Prima</t>
  </si>
  <si>
    <t xml:space="preserve">2 lotes en un mes </t>
  </si>
  <si>
    <t>MEMORIA DE CALCULO PARA CIF</t>
  </si>
  <si>
    <t>Energía eléctrica (cálculo mensual de GDMTH)</t>
  </si>
  <si>
    <t>kWh</t>
  </si>
  <si>
    <t>Variable</t>
  </si>
  <si>
    <t>Gas</t>
  </si>
  <si>
    <t>Material de limpieza</t>
  </si>
  <si>
    <t>Varios</t>
  </si>
  <si>
    <t>Material de mantenimiento</t>
  </si>
  <si>
    <t xml:space="preserve">Auxiliar de limpieza </t>
  </si>
  <si>
    <t>Encargado de mantenimiento</t>
  </si>
  <si>
    <t>CALCULO DE DEPRECIACIONES Y AMORTIZACIONES</t>
  </si>
  <si>
    <t xml:space="preserve"> MUEBLES Y EQUIPO </t>
  </si>
  <si>
    <t>VALOR</t>
  </si>
  <si>
    <t>VIDA UTIL (AÑOS)</t>
  </si>
  <si>
    <t>TASA DE DEPREC.</t>
  </si>
  <si>
    <t>DEPRECIACION (ANUAL)</t>
  </si>
  <si>
    <t>DEPRECIACION (MENSUAL)</t>
  </si>
  <si>
    <t>DEPRC. ACUM</t>
  </si>
  <si>
    <t>REMANENTE</t>
  </si>
  <si>
    <t xml:space="preserve">Sillas para Escritorios </t>
  </si>
  <si>
    <t>10 años</t>
  </si>
  <si>
    <t xml:space="preserve">Escritorios </t>
  </si>
  <si>
    <t>Computadoras</t>
  </si>
  <si>
    <t>3-4 años</t>
  </si>
  <si>
    <t>Estantes/Anaqueles</t>
  </si>
  <si>
    <t>Sillas del restaurante</t>
  </si>
  <si>
    <t>5 años</t>
  </si>
  <si>
    <t xml:space="preserve">Mesas del restaurante </t>
  </si>
  <si>
    <t xml:space="preserve">5 años </t>
  </si>
  <si>
    <t xml:space="preserve">Utencilios de cocina </t>
  </si>
  <si>
    <t>Vasos</t>
  </si>
  <si>
    <t>2 años</t>
  </si>
  <si>
    <t>Copas</t>
  </si>
  <si>
    <t xml:space="preserve">2 años </t>
  </si>
  <si>
    <t>Platos</t>
  </si>
  <si>
    <t>Total</t>
  </si>
  <si>
    <t>MAQUINARIA</t>
  </si>
  <si>
    <t>Mash Tun / HLT (Tanque de Maceración y Agua Caliente)</t>
  </si>
  <si>
    <t>Lauter Tun (Tanque de Filtración)</t>
  </si>
  <si>
    <t>Kettle / Whirlpool (Tanque de Hervor y Separación)</t>
  </si>
  <si>
    <t>Tanque con Agitador y Boquilla para Whirlpool</t>
  </si>
  <si>
    <t>Tanque de Agua Caliente o Fría (HLT/CLT)</t>
  </si>
  <si>
    <t>AMORTIZACIÓN DE LA DEUDA</t>
  </si>
  <si>
    <t>TABLA DE AMORTIZACION DE LA DEUDA</t>
  </si>
  <si>
    <t>TASA DE INTERES</t>
  </si>
  <si>
    <t>INTERES</t>
  </si>
  <si>
    <t>DEUDA ACUMULADA</t>
  </si>
  <si>
    <t>PAGO CAPITAL</t>
  </si>
  <si>
    <t>PAGO INTERES</t>
  </si>
  <si>
    <t>PAGO TOTAL</t>
  </si>
  <si>
    <t>SALDO</t>
  </si>
  <si>
    <t>FECHAS DE PAGO</t>
  </si>
  <si>
    <t>CALCULO POR MES</t>
  </si>
  <si>
    <t>PRIMERA MINISTRACIÓN</t>
  </si>
  <si>
    <t xml:space="preserve">MONTO: </t>
  </si>
  <si>
    <t>SE</t>
  </si>
  <si>
    <t>FECHA:</t>
  </si>
  <si>
    <t>tiempo</t>
  </si>
  <si>
    <t>SEGUNDA MINISTRACIÓN</t>
  </si>
  <si>
    <t>tasa anual</t>
  </si>
  <si>
    <t>Frecuencia</t>
  </si>
  <si>
    <t>amortizacion</t>
  </si>
  <si>
    <t>mensual</t>
  </si>
  <si>
    <t>gracia</t>
  </si>
  <si>
    <t>1 mes</t>
  </si>
  <si>
    <t>CALCULO POR AÑO</t>
  </si>
  <si>
    <t>4.9 PUNTO DE EQUILIBRIO</t>
  </si>
  <si>
    <t>AÑO 3</t>
  </si>
  <si>
    <t>PRECIO UNITARIO</t>
  </si>
  <si>
    <t>COSTO VARIABLE UNITARIO</t>
  </si>
  <si>
    <t>COSTO FIJO TOTAL</t>
  </si>
  <si>
    <t>COSTOS DE OPERACION</t>
  </si>
  <si>
    <t>PUNTO DE EQUILIBRIO UNITARIO</t>
  </si>
  <si>
    <t>COSTOS VARIABLES</t>
  </si>
  <si>
    <t>COSTOS FIJOS</t>
  </si>
  <si>
    <t>UTILIDAD DE OPERACIÓN</t>
  </si>
  <si>
    <t>IMPUESTOS</t>
  </si>
  <si>
    <t>UTILIDAD NETA</t>
  </si>
  <si>
    <t>PUNTO DE EQUILIBRIO</t>
  </si>
  <si>
    <t>como % de ventas</t>
  </si>
  <si>
    <t>ventas</t>
  </si>
  <si>
    <t>costo variable</t>
  </si>
  <si>
    <t>UTILIDAD POR SOCIO</t>
  </si>
  <si>
    <t>costos fijos</t>
  </si>
  <si>
    <t>UNIDADES MONETARIAS</t>
  </si>
  <si>
    <t>GRÁFICA DEL PUNTO DE EQUILIBRIO</t>
  </si>
  <si>
    <t>COSTO FIJO</t>
  </si>
  <si>
    <t>PEu</t>
  </si>
  <si>
    <t>CF</t>
  </si>
  <si>
    <t>PRECIO DE VENTA - UNITARIO (Pvu)</t>
  </si>
  <si>
    <t>1- Cvu</t>
  </si>
  <si>
    <t>COSTO VARIAB. - UNIT (Cvu)</t>
  </si>
  <si>
    <t>PVU</t>
  </si>
  <si>
    <t>P.E UNIDADES MONT</t>
  </si>
  <si>
    <t>UNIDADES PRODUCIDAS</t>
  </si>
  <si>
    <t>P.E UNIDADES PROD</t>
  </si>
  <si>
    <t>UTILIDAD</t>
  </si>
  <si>
    <t>COSTOS TOTALES</t>
  </si>
  <si>
    <t>UTILIDADES</t>
  </si>
  <si>
    <t>SENSIBILIZACION</t>
  </si>
  <si>
    <t>PARA EL PRIMER AÑO</t>
  </si>
  <si>
    <t>CAMBIO EN VENTAS</t>
  </si>
  <si>
    <t>CAMBIO EN COSTOS</t>
  </si>
  <si>
    <t>TOTAL PROYECTO</t>
  </si>
  <si>
    <t>RELACION B/C</t>
  </si>
  <si>
    <t>PARA EL SEGUNDO AÑO</t>
  </si>
  <si>
    <t>PARA EL TERCER AÑO</t>
  </si>
  <si>
    <t>PARA EL CUARTO AÑO</t>
  </si>
  <si>
    <t>PARA EL QUINTO AÑO</t>
  </si>
  <si>
    <t xml:space="preserve">     VAN, TIR Y  B/C</t>
  </si>
  <si>
    <t>TASA DE ACTUALIZACIÓN</t>
  </si>
  <si>
    <t>AÑO</t>
  </si>
  <si>
    <t xml:space="preserve">COSTOS  </t>
  </si>
  <si>
    <t xml:space="preserve">FLUJO DE EFECTIVO </t>
  </si>
  <si>
    <t xml:space="preserve"> TASA</t>
  </si>
  <si>
    <t xml:space="preserve"> (1+t)-n</t>
  </si>
  <si>
    <t>ACTUALIZADOS</t>
  </si>
  <si>
    <t>VAN</t>
  </si>
  <si>
    <t>TIR</t>
  </si>
  <si>
    <t>B/C</t>
  </si>
  <si>
    <t>BALANCE GENERAL PROFORMA</t>
  </si>
  <si>
    <t>CONCEPTO FIJO</t>
  </si>
  <si>
    <t>ACTIVO CIRCULANTE</t>
  </si>
  <si>
    <t>Total activo circulante</t>
  </si>
  <si>
    <t>ACTIVO FIJO</t>
  </si>
  <si>
    <t>TOTAL DE ACTIVO FIJO</t>
  </si>
  <si>
    <t>CAPITAL CONTABLE</t>
  </si>
  <si>
    <t>Concentrado de nómina</t>
  </si>
  <si>
    <t>Prestaciones</t>
  </si>
  <si>
    <t>Deducciones</t>
  </si>
  <si>
    <t>ISR</t>
  </si>
  <si>
    <t>IMSS</t>
  </si>
  <si>
    <t>Salario neto quincenal</t>
  </si>
  <si>
    <t>Salario neto mensual</t>
  </si>
  <si>
    <t>Salario neto anual</t>
  </si>
  <si>
    <t>Cálculo del Salario Base de Cotización</t>
  </si>
  <si>
    <t>ISN</t>
  </si>
  <si>
    <t>NOMINAL</t>
  </si>
  <si>
    <t>INFONAVIT</t>
  </si>
  <si>
    <t>SBC IMSS</t>
  </si>
  <si>
    <t>UMA 2024</t>
  </si>
  <si>
    <t>3 Veces UMA</t>
  </si>
  <si>
    <t>Puesto</t>
  </si>
  <si>
    <t>Nivel</t>
  </si>
  <si>
    <t>Fecha de ingreso</t>
  </si>
  <si>
    <t>Antigüedad</t>
  </si>
  <si>
    <t>Salario Base</t>
  </si>
  <si>
    <t>Salario Quincenal</t>
  </si>
  <si>
    <t>Aguinaldo</t>
  </si>
  <si>
    <t>Vacaciones</t>
  </si>
  <si>
    <t>Prima vacacional</t>
  </si>
  <si>
    <t>Factor de integración</t>
  </si>
  <si>
    <t>SBC</t>
  </si>
  <si>
    <t>SBC*15</t>
  </si>
  <si>
    <t>Gerente general</t>
  </si>
  <si>
    <t>Cuotas patronales</t>
  </si>
  <si>
    <t>Gerente de restaurante</t>
  </si>
  <si>
    <t>Cuota fija</t>
  </si>
  <si>
    <t>Gerente de producción</t>
  </si>
  <si>
    <t>Cuota adicional sobre el UMA</t>
  </si>
  <si>
    <t>Gerente de ventas</t>
  </si>
  <si>
    <t>Prestaciones en dinero</t>
  </si>
  <si>
    <t>Gerente de finanzas</t>
  </si>
  <si>
    <t>Gtos. Med.</t>
  </si>
  <si>
    <t>Invalidez y vida</t>
  </si>
  <si>
    <t>Encargado de almacen</t>
  </si>
  <si>
    <t>Guarderías y prestaciones</t>
  </si>
  <si>
    <t>Jefe de cocina</t>
  </si>
  <si>
    <t>Retiro</t>
  </si>
  <si>
    <t>Relaciones públicas</t>
  </si>
  <si>
    <t>Cesantía y vejez</t>
  </si>
  <si>
    <t>F. vivienda</t>
  </si>
  <si>
    <t>Auxiliar Contador</t>
  </si>
  <si>
    <t xml:space="preserve">Auxiliar de produccion </t>
  </si>
  <si>
    <t>Riesgo de trabajo</t>
  </si>
  <si>
    <t>Meseros</t>
  </si>
  <si>
    <t>Clase IV</t>
  </si>
  <si>
    <t>Cocineros</t>
  </si>
  <si>
    <t>Auxiliar de limpieza</t>
  </si>
  <si>
    <t>Cuotras obrero</t>
  </si>
  <si>
    <t>Gastos medicos pensionados</t>
  </si>
  <si>
    <t>Cuota adicional por la diferencia del SBC y de tres veces la UMA</t>
  </si>
  <si>
    <t>Deducción de Cuotas patronales por trabajador</t>
  </si>
  <si>
    <t>Cesantia y vejez</t>
  </si>
  <si>
    <t>Cuota Fija</t>
  </si>
  <si>
    <t>Cuota Adicional sobre el UMA</t>
  </si>
  <si>
    <t>Gastos Medicos</t>
  </si>
  <si>
    <t>Fondo para la vivienda</t>
  </si>
  <si>
    <t>Prima de Riesgo de trabajo</t>
  </si>
  <si>
    <t>Deducción de Cuotas Obrero por trabajador</t>
  </si>
  <si>
    <t>Salario Nominal</t>
  </si>
  <si>
    <t>Porcentaje de ISN</t>
  </si>
  <si>
    <t>ISN a Pagar</t>
  </si>
  <si>
    <t xml:space="preserve">Porcentaje de INFONAVIT </t>
  </si>
  <si>
    <t>INFONAVIT a Pagar</t>
  </si>
  <si>
    <t>Deducción de ISR por trabajador</t>
  </si>
  <si>
    <t>Tárifas ISR 2024</t>
  </si>
  <si>
    <t>Límite inferior</t>
  </si>
  <si>
    <t>Excedente de %</t>
  </si>
  <si>
    <t>Tasa de ISR</t>
  </si>
  <si>
    <t>ISR excedente</t>
  </si>
  <si>
    <t>ISR determinado</t>
  </si>
  <si>
    <t>Subsidio al empleo</t>
  </si>
  <si>
    <t>ISR a retener</t>
  </si>
  <si>
    <t>Límite superior</t>
  </si>
  <si>
    <t>% sobre el excedente del límite inferior</t>
  </si>
  <si>
    <t>Subsidio para el empleo</t>
  </si>
  <si>
    <t>%Del decreto</t>
  </si>
  <si>
    <t>Subsidio diario</t>
  </si>
  <si>
    <t>Subisidio MENSUAL</t>
  </si>
  <si>
    <t>Estado de situación financiera 2023</t>
  </si>
  <si>
    <t>Estado de resultados</t>
  </si>
  <si>
    <t>Procentajes Integrales</t>
  </si>
  <si>
    <t>Depreciación y amortización</t>
  </si>
  <si>
    <t xml:space="preserve">Activos </t>
  </si>
  <si>
    <t>Pasivo</t>
  </si>
  <si>
    <t>Ventas</t>
  </si>
  <si>
    <t>Concepto</t>
  </si>
  <si>
    <t>Inversión inicial</t>
  </si>
  <si>
    <t>Tasa de depreciación anual %</t>
  </si>
  <si>
    <t>Depreacición y amortización anual</t>
  </si>
  <si>
    <t>Circulantes</t>
  </si>
  <si>
    <t>Circulante</t>
  </si>
  <si>
    <t>(-) Inventario Inicial</t>
  </si>
  <si>
    <t>Depreciación</t>
  </si>
  <si>
    <t>Caja</t>
  </si>
  <si>
    <t>Documentos por pagar C.P</t>
  </si>
  <si>
    <t xml:space="preserve">(+)Compras </t>
  </si>
  <si>
    <t>Activos tangibles</t>
  </si>
  <si>
    <t>Bancos</t>
  </si>
  <si>
    <t xml:space="preserve">Proveedores </t>
  </si>
  <si>
    <t xml:space="preserve">(-)Inventario final </t>
  </si>
  <si>
    <t>Clientes</t>
  </si>
  <si>
    <t xml:space="preserve">Acreedores </t>
  </si>
  <si>
    <t xml:space="preserve">(=)Costo de ventas </t>
  </si>
  <si>
    <t>Deudores diversos</t>
  </si>
  <si>
    <t>Impuestos por pagar</t>
  </si>
  <si>
    <t>(=)Utilidad Bruta</t>
  </si>
  <si>
    <t>Inventarios PT</t>
  </si>
  <si>
    <t xml:space="preserve">Creaditos Bancarios </t>
  </si>
  <si>
    <t>Edificio</t>
  </si>
  <si>
    <t>Inventarios MP</t>
  </si>
  <si>
    <t>Servicios por pagar</t>
  </si>
  <si>
    <t>(-) Gastos de administración</t>
  </si>
  <si>
    <t>Amortización</t>
  </si>
  <si>
    <t>Inventarios PP</t>
  </si>
  <si>
    <t>Pasivo a Largo Plazo</t>
  </si>
  <si>
    <t>(-) Gastos de venta</t>
  </si>
  <si>
    <t>Patentes</t>
  </si>
  <si>
    <t>Fijo</t>
  </si>
  <si>
    <t>Documentos por pagar L.P</t>
  </si>
  <si>
    <t>Utilidad de operación</t>
  </si>
  <si>
    <t>Terreno</t>
  </si>
  <si>
    <t>Gastos financieros</t>
  </si>
  <si>
    <t>Capital</t>
  </si>
  <si>
    <t>Utilidad antes de ISR y PTU</t>
  </si>
  <si>
    <t>Maquinaria y equipo</t>
  </si>
  <si>
    <t>Capital social</t>
  </si>
  <si>
    <t>Mobiliario y equipo de oficina</t>
  </si>
  <si>
    <t>Reserva Legal</t>
  </si>
  <si>
    <t>(-)PTU (10%)</t>
  </si>
  <si>
    <t xml:space="preserve">Depreación Acum. </t>
  </si>
  <si>
    <t>Resultado de Ejercicios A.</t>
  </si>
  <si>
    <t>(-) ISR  (30%)</t>
  </si>
  <si>
    <t xml:space="preserve">Utilidades Retenidas </t>
  </si>
  <si>
    <t>Diferidos</t>
  </si>
  <si>
    <t>Utilidades del Ejercicio</t>
  </si>
  <si>
    <t>Utilidad neta</t>
  </si>
  <si>
    <t xml:space="preserve">Interpretación: El Estado de Resultados de Amarguitas S.de RL. de 2023, muestra un volumen de ventas de $2,100, 000, del cual el porcentaje de costo de ventas corresponde al 41.67%, es decir, representa lo que cuesta realizar la producción de cerveza. Mientras que, la utilidad de operación corresponde al 20.71%, porcentaje que representa todos los gastos administrativos y ventas.  Finalmente la Rentabilidad corresponde al 12%, es decir por cada $1 qué vende, Amarguitas obtiene ¢12. </t>
  </si>
  <si>
    <t>Amortización acum.</t>
  </si>
  <si>
    <t xml:space="preserve">Total de Activos </t>
  </si>
  <si>
    <t>Estado de situación financiera 2024</t>
  </si>
  <si>
    <t>Porcentaje Integrales</t>
  </si>
  <si>
    <t>Interpretación: El Estado de Resultados de Amarguitas S.de RL. de 2024,  muestra un volumen de ventas de $2,250,000, del cual el porcentaje de costo de ventas corresponde al 41.11%, es decir, representa lo que cuesta realizar la producción de cerveza. Mientras que, la utilidad de operación corresponde al 21.11%, porcentaje que representa todos los gastos administrativos y ventas.  Finalmente la Rentabilidad corresponde al 12%, es decir por cada $1 qué vende, Amarguitas obtiene ¢12</t>
  </si>
  <si>
    <t xml:space="preserve">Depreciación Acum. </t>
  </si>
  <si>
    <t>Utilidades del ejercicio</t>
  </si>
  <si>
    <t xml:space="preserve">Razón de Capital de Trabajo (solvencia) </t>
  </si>
  <si>
    <t>RECT</t>
  </si>
  <si>
    <t>2 a 1</t>
  </si>
  <si>
    <t xml:space="preserve">Superavit </t>
  </si>
  <si>
    <t xml:space="preserve">Prueba Acida (liquidez) </t>
  </si>
  <si>
    <t>REPA</t>
  </si>
  <si>
    <t>1.5 a 1</t>
  </si>
  <si>
    <t>Rentabilidad</t>
  </si>
  <si>
    <t>Total de Inventarios</t>
  </si>
  <si>
    <t>Total de Activo C.</t>
  </si>
  <si>
    <t>Total de Pasivo C.</t>
  </si>
  <si>
    <t>Tabla de precios</t>
  </si>
  <si>
    <t>INGRESOS POR VENTA MENSUAL AÑO 2</t>
  </si>
  <si>
    <t>Año 2</t>
  </si>
  <si>
    <t>Año 3</t>
  </si>
  <si>
    <t>Año 4</t>
  </si>
  <si>
    <t>Año 5</t>
  </si>
  <si>
    <t>Primer semestre</t>
  </si>
  <si>
    <t>Segundo semestre</t>
  </si>
  <si>
    <t>INGRESOS POR VENTA MENSUAL AÑO 3</t>
  </si>
  <si>
    <t>INGRESOS POR VENTA MENSUAL AÑO 4</t>
  </si>
  <si>
    <t>INGRESOS POR VENTA MENSUAL AÑO 5</t>
  </si>
  <si>
    <t>CUARTO AÑO DE INVERSIÓN</t>
  </si>
  <si>
    <t>QUINTO AÑO DE INVERSIÓN</t>
  </si>
  <si>
    <t>ACTIVO DIFERIDO</t>
  </si>
  <si>
    <t>TOTAL ACTIVO DIFERIDO</t>
  </si>
  <si>
    <t>TOTAL ACTIVO</t>
  </si>
  <si>
    <t>PASIVO CIRCULANTE</t>
  </si>
  <si>
    <t>PASIVO A LARGO PLAZO</t>
  </si>
  <si>
    <t>TOTAL DE PASIVO CIRCULANTE</t>
  </si>
  <si>
    <t>TOTAL PASIVO A LARGO PLAZO</t>
  </si>
  <si>
    <t>TOTAL PASIVO</t>
  </si>
  <si>
    <t>TOTAL CAPITAL CONTABLE</t>
  </si>
  <si>
    <t>PASIVO + CAPITAL</t>
  </si>
  <si>
    <t>D</t>
  </si>
  <si>
    <t>H</t>
  </si>
  <si>
    <t>ASIENTOS</t>
  </si>
  <si>
    <t>Intereses por pagar</t>
  </si>
  <si>
    <t xml:space="preserve">Remanente </t>
  </si>
  <si>
    <t>AJUSTES</t>
  </si>
  <si>
    <t>GASTOS FINANCIEROS (intereses)</t>
  </si>
  <si>
    <t>CV</t>
  </si>
  <si>
    <t>PERDIDAS Y GANANCIAS</t>
  </si>
  <si>
    <t>GASTOS DE VENTA</t>
  </si>
  <si>
    <t>GASTOS FINANCIEROS</t>
  </si>
  <si>
    <t>RESULTADO DEL EJERC</t>
  </si>
  <si>
    <t>1)</t>
  </si>
  <si>
    <t>Encargado de matenimiento</t>
  </si>
  <si>
    <t>cv</t>
  </si>
  <si>
    <t>ub</t>
  </si>
  <si>
    <t>ga</t>
  </si>
  <si>
    <t>gf</t>
  </si>
  <si>
    <t>u de op</t>
  </si>
  <si>
    <t>impuestos</t>
  </si>
  <si>
    <t>gv</t>
  </si>
  <si>
    <t>ptu</t>
  </si>
  <si>
    <t>isr</t>
  </si>
  <si>
    <t>UTIL NETA</t>
  </si>
  <si>
    <t xml:space="preserve"> P y G</t>
  </si>
  <si>
    <t>(11</t>
  </si>
  <si>
    <t>12)</t>
  </si>
  <si>
    <t>13)</t>
  </si>
  <si>
    <t>14)</t>
  </si>
  <si>
    <t>15)</t>
  </si>
  <si>
    <t>RES DEL EJERC</t>
  </si>
  <si>
    <t>(16</t>
  </si>
  <si>
    <t>16)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</si>
  <si>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</si>
  <si>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</si>
  <si>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</si>
  <si>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</si>
  <si>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</si>
  <si>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</si>
  <si>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</si>
  <si>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</si>
  <si>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</si>
  <si>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</si>
  <si>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GASTOS DE ADMINISTRACIÓN</t>
  </si>
  <si>
    <t>Año 6</t>
  </si>
  <si>
    <t>+</t>
  </si>
  <si>
    <t xml:space="preserve">  </t>
  </si>
  <si>
    <t>RES DEL EJERCICIO</t>
  </si>
  <si>
    <t>RES DE EJERC ANTER</t>
  </si>
  <si>
    <t>17)</t>
  </si>
  <si>
    <t>(13</t>
  </si>
  <si>
    <t>(14</t>
  </si>
  <si>
    <t>(15</t>
  </si>
  <si>
    <t>(17</t>
  </si>
  <si>
    <t>Total de Activo Circulante</t>
  </si>
  <si>
    <t>Total de Pasivo C.P.</t>
  </si>
  <si>
    <t>Total de Pasivo C.L.</t>
  </si>
  <si>
    <t>Activo Fijo</t>
  </si>
  <si>
    <t>Pasivo No Circulante</t>
  </si>
  <si>
    <t>Activo Diferido</t>
  </si>
  <si>
    <t>Capital Contable</t>
  </si>
  <si>
    <t>Total de Activo Fijo</t>
  </si>
  <si>
    <t>Total de Activo Diferido</t>
  </si>
  <si>
    <t>Total  de Activo</t>
  </si>
  <si>
    <t>Total de Pasivo + Capital</t>
  </si>
  <si>
    <t xml:space="preserve">Total de Capital </t>
  </si>
  <si>
    <t>Al 31 de diciembre de 2025</t>
  </si>
  <si>
    <t>Estado de Situación Financiera de "Las  Amarguitas S. de R.L."</t>
  </si>
  <si>
    <t>Del 1 de Enero al 31 de Diciembre de 2025</t>
  </si>
  <si>
    <t>Terrreno</t>
  </si>
  <si>
    <t>Estado de resultados de "Las Amarguitas S.de R.L."</t>
  </si>
  <si>
    <t>BANCOS</t>
  </si>
  <si>
    <t>DOCUMENTOS POR PAGAR L.P.</t>
  </si>
  <si>
    <t>MAQUINARIA Y EQUIPO</t>
  </si>
  <si>
    <t>GASTOS DE VENTAS</t>
  </si>
  <si>
    <t>COSTOS DE VENTAS</t>
  </si>
  <si>
    <t>DEP. ACUM. DE MAQUINARIA</t>
  </si>
  <si>
    <t>SALDO ANTIGUO</t>
  </si>
  <si>
    <t>SALDO NUEVO</t>
  </si>
  <si>
    <t>(+) Inventario Inicial</t>
  </si>
  <si>
    <t>Costo promedio</t>
  </si>
  <si>
    <t>Factor de aumento</t>
  </si>
  <si>
    <t>CALCULO DE UTILIDADES</t>
  </si>
  <si>
    <t>64,000,32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</si>
</sst>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&quot;$&quot;#,##0.00_);\(&quot;$&quot;#,##0.00\)"/>
    <numFmt numFmtId="166" formatCode="&quot;$&quot;#,##0.00_);[Red]\(&quot;$&quot;#,##0.00\)"/>
    <numFmt numFmtId="167" formatCode="_(* #,##0.00_);_(* \(#,##0.00\);_(* &quot;-&quot;??_);_(@_)"/>
    <numFmt numFmtId="168" formatCode="_-[$€-2]* #,##0.00_-;\-[$€-2]* #,##0.00_-;_-[$€-2]* &quot;-&quot;??_-"/>
    <numFmt numFmtId="169" formatCode="_-* #,##0.00\ _€_-;\-* #,##0.00\ _€_-;_-* &quot;-&quot;??\ _€_-;_-@_-"/>
    <numFmt numFmtId="170" formatCode="&quot;$&quot;#,##0.00"/>
    <numFmt numFmtId="171" formatCode="[$$-80A]#,##0.00"/>
    <numFmt numFmtId="172" formatCode="_(&quot;$&quot;* #,##0.0_);_(&quot;$&quot;* \(#,##0.0\);_(&quot;$&quot;* &quot;-&quot;??_);_(@_)"/>
    <numFmt numFmtId="173" formatCode="0.0%"/>
    <numFmt numFmtId="174" formatCode="0.00000"/>
    <numFmt numFmtId="175" formatCode="0.000"/>
    <numFmt numFmtId="176" formatCode="_-[$$-409]* #,##0.00_ ;_-[$$-409]* \-#,##0.00\ ;_-[$$-409]* &quot;-&quot;??_ ;_-@_ "/>
    <numFmt numFmtId="177" formatCode="#,##0.0"/>
    <numFmt numFmtId="178" formatCode="0.0000"/>
    <numFmt numFmtId="179" formatCode="_(&quot;$&quot;* #,##0.00_);_(&quot;$&quot;* \(#,##0.00\);_(&quot;$&quot;* &quot;-&quot;??_);_(@_)"/>
    <numFmt numFmtId="180" formatCode="_-[$$-80A]* #,##0.00_-;\-[$$-80A]* #,##0.00_-;_-[$$-80A]* &quot;-&quot;??_-;_-@_-"/>
    <numFmt numFmtId="181" formatCode="&quot;$&quot;#,##0.00;[Red]&quot;$&quot;#,##0.00"/>
    <numFmt numFmtId="182" formatCode="_-* #,##0_-;\-* #,##0_-;_-* &quot;-&quot;??_-;_-@_-"/>
    <numFmt numFmtId="183" formatCode="_-* #,##0.000_-;\-* #,##0.000_-;_-* &quot;-&quot;??_-;_-@_-"/>
  </numFmts>
  <fonts count="6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21"/>
      <name val="Arial"/>
      <family val="2"/>
    </font>
    <font>
      <sz val="12"/>
      <color indexed="13"/>
      <name val="Arial"/>
      <family val="2"/>
    </font>
    <font>
      <sz val="12"/>
      <color indexed="9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6"/>
      <name val="Calibri"/>
      <family val="2"/>
    </font>
    <font>
      <b/>
      <i/>
      <sz val="12"/>
      <name val="Arial"/>
      <family val="2"/>
    </font>
    <font>
      <b/>
      <sz val="16"/>
      <color indexed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4"/>
      <color indexed="8"/>
      <name val="Calibri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i/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11"/>
      <color indexed="8"/>
      <name val="Arial"/>
      <family val="2"/>
    </font>
    <font>
      <b/>
      <sz val="16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indexed="57"/>
      <name val="Arial Narrow"/>
      <family val="2"/>
    </font>
    <font>
      <b/>
      <sz val="8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color rgb="FF242424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0"/>
      <color rgb="FFFF0000"/>
      <name val="Arial"/>
      <family val="2"/>
    </font>
    <font>
      <sz val="11"/>
      <color theme="1"/>
      <name val="Calibri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scheme val="minor"/>
    </font>
    <font>
      <b/>
      <i/>
      <sz val="11"/>
      <color rgb="FF000000"/>
      <name val="Arial"/>
      <family val="2"/>
    </font>
    <font>
      <i/>
      <sz val="11"/>
      <name val="Arial"/>
      <family val="2"/>
    </font>
    <font>
      <b/>
      <sz val="12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BA09D"/>
        <bgColor indexed="64"/>
      </patternFill>
    </fill>
    <fill>
      <patternFill patternType="solid">
        <fgColor rgb="FFFBB39D"/>
        <bgColor indexed="64"/>
      </patternFill>
    </fill>
    <fill>
      <patternFill patternType="solid">
        <fgColor rgb="FFFBC99D"/>
        <bgColor indexed="64"/>
      </patternFill>
    </fill>
    <fill>
      <patternFill patternType="solid">
        <fgColor rgb="FFFBDF9D"/>
        <bgColor indexed="64"/>
      </patternFill>
    </fill>
    <fill>
      <patternFill patternType="solid">
        <fgColor rgb="FFE9E5AF"/>
        <bgColor indexed="64"/>
      </patternFill>
    </fill>
    <fill>
      <patternFill patternType="solid">
        <fgColor rgb="FFC8DDBB"/>
        <bgColor indexed="64"/>
      </patternFill>
    </fill>
    <fill>
      <patternFill patternType="solid">
        <fgColor rgb="FFB6E2DD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2">
    <xf numFmtId="0" fontId="0" fillId="0" borderId="0"/>
    <xf numFmtId="43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0" fontId="37" fillId="0" borderId="0"/>
    <xf numFmtId="44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7" fillId="0" borderId="0"/>
    <xf numFmtId="9" fontId="37" fillId="0" borderId="0" applyFont="0" applyFill="0" applyBorder="0" applyAlignment="0" applyProtection="0"/>
    <xf numFmtId="44" fontId="37" fillId="0" borderId="0" applyFont="0" applyFill="0" applyBorder="0" applyAlignment="0" applyProtection="0"/>
  </cellStyleXfs>
  <cellXfs count="64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3" xfId="0" applyFont="1" applyBorder="1"/>
    <xf numFmtId="0" fontId="6" fillId="0" borderId="3" xfId="0" applyFont="1" applyBorder="1"/>
    <xf numFmtId="0" fontId="7" fillId="3" borderId="3" xfId="0" applyFont="1" applyFill="1" applyBorder="1"/>
    <xf numFmtId="0" fontId="8" fillId="0" borderId="3" xfId="0" applyFont="1" applyBorder="1"/>
    <xf numFmtId="0" fontId="9" fillId="0" borderId="3" xfId="0" applyFont="1" applyBorder="1"/>
    <xf numFmtId="0" fontId="10" fillId="0" borderId="3" xfId="0" applyFont="1" applyBorder="1"/>
    <xf numFmtId="0" fontId="7" fillId="0" borderId="6" xfId="0" applyFont="1" applyBorder="1"/>
    <xf numFmtId="0" fontId="7" fillId="3" borderId="6" xfId="0" applyFont="1" applyFill="1" applyBorder="1"/>
    <xf numFmtId="0" fontId="11" fillId="0" borderId="0" xfId="0" applyFont="1"/>
    <xf numFmtId="0" fontId="12" fillId="0" borderId="0" xfId="0" applyFont="1"/>
    <xf numFmtId="0" fontId="7" fillId="0" borderId="0" xfId="0" applyFont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6" fillId="0" borderId="8" xfId="0" applyFont="1" applyBorder="1"/>
    <xf numFmtId="0" fontId="6" fillId="3" borderId="3" xfId="0" applyFont="1" applyFill="1" applyBorder="1" applyAlignment="1">
      <alignment horizontal="center"/>
    </xf>
    <xf numFmtId="0" fontId="7" fillId="0" borderId="8" xfId="0" applyFont="1" applyBorder="1"/>
    <xf numFmtId="0" fontId="7" fillId="0" borderId="5" xfId="0" applyFont="1" applyBorder="1"/>
    <xf numFmtId="0" fontId="7" fillId="0" borderId="9" xfId="0" applyFont="1" applyBorder="1"/>
    <xf numFmtId="0" fontId="10" fillId="3" borderId="3" xfId="0" applyFont="1" applyFill="1" applyBorder="1"/>
    <xf numFmtId="0" fontId="6" fillId="3" borderId="4" xfId="0" applyFont="1" applyFill="1" applyBorder="1" applyAlignment="1">
      <alignment horizontal="center"/>
    </xf>
    <xf numFmtId="0" fontId="7" fillId="0" borderId="4" xfId="0" applyFont="1" applyBorder="1"/>
    <xf numFmtId="0" fontId="7" fillId="3" borderId="4" xfId="0" applyFont="1" applyFill="1" applyBorder="1"/>
    <xf numFmtId="0" fontId="0" fillId="0" borderId="11" xfId="0" applyBorder="1"/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13" fillId="0" borderId="3" xfId="0" applyFont="1" applyBorder="1" applyAlignment="1">
      <alignment horizontal="center"/>
    </xf>
    <xf numFmtId="0" fontId="39" fillId="4" borderId="0" xfId="6" applyFont="1" applyFill="1"/>
    <xf numFmtId="0" fontId="17" fillId="4" borderId="0" xfId="6" applyFont="1" applyFill="1" applyAlignment="1">
      <alignment horizontal="left"/>
    </xf>
    <xf numFmtId="0" fontId="7" fillId="4" borderId="0" xfId="6" applyFont="1" applyFill="1"/>
    <xf numFmtId="9" fontId="6" fillId="4" borderId="13" xfId="6" applyNumberFormat="1" applyFont="1" applyFill="1" applyBorder="1"/>
    <xf numFmtId="0" fontId="6" fillId="4" borderId="3" xfId="6" applyFont="1" applyFill="1" applyBorder="1" applyAlignment="1">
      <alignment horizontal="center"/>
    </xf>
    <xf numFmtId="44" fontId="7" fillId="4" borderId="3" xfId="7" applyFont="1" applyFill="1" applyBorder="1"/>
    <xf numFmtId="9" fontId="7" fillId="4" borderId="3" xfId="8" applyFont="1" applyFill="1" applyBorder="1" applyAlignment="1">
      <alignment horizontal="center"/>
    </xf>
    <xf numFmtId="44" fontId="6" fillId="4" borderId="3" xfId="6" applyNumberFormat="1" applyFont="1" applyFill="1" applyBorder="1" applyAlignment="1">
      <alignment horizontal="center"/>
    </xf>
    <xf numFmtId="0" fontId="7" fillId="4" borderId="0" xfId="6" applyFont="1" applyFill="1" applyAlignment="1">
      <alignment horizontal="center"/>
    </xf>
    <xf numFmtId="0" fontId="6" fillId="4" borderId="0" xfId="6" applyFont="1" applyFill="1"/>
    <xf numFmtId="44" fontId="7" fillId="4" borderId="16" xfId="6" applyNumberFormat="1" applyFont="1" applyFill="1" applyBorder="1" applyAlignment="1">
      <alignment horizontal="center"/>
    </xf>
    <xf numFmtId="9" fontId="7" fillId="4" borderId="17" xfId="6" applyNumberFormat="1" applyFont="1" applyFill="1" applyBorder="1" applyAlignment="1">
      <alignment horizontal="center"/>
    </xf>
    <xf numFmtId="2" fontId="7" fillId="4" borderId="17" xfId="6" applyNumberFormat="1" applyFont="1" applyFill="1" applyBorder="1" applyAlignment="1">
      <alignment horizontal="center"/>
    </xf>
    <xf numFmtId="0" fontId="37" fillId="0" borderId="0" xfId="6"/>
    <xf numFmtId="0" fontId="40" fillId="0" borderId="0" xfId="6" applyFont="1"/>
    <xf numFmtId="44" fontId="7" fillId="4" borderId="3" xfId="6" applyNumberFormat="1" applyFont="1" applyFill="1" applyBorder="1" applyAlignment="1">
      <alignment horizontal="left"/>
    </xf>
    <xf numFmtId="44" fontId="7" fillId="4" borderId="0" xfId="6" applyNumberFormat="1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center"/>
    </xf>
    <xf numFmtId="9" fontId="6" fillId="2" borderId="3" xfId="0" applyNumberFormat="1" applyFont="1" applyFill="1" applyBorder="1" applyAlignment="1">
      <alignment horizontal="center"/>
    </xf>
    <xf numFmtId="9" fontId="6" fillId="2" borderId="3" xfId="0" applyNumberFormat="1" applyFont="1" applyFill="1" applyBorder="1"/>
    <xf numFmtId="9" fontId="6" fillId="0" borderId="3" xfId="0" applyNumberFormat="1" applyFont="1" applyBorder="1"/>
    <xf numFmtId="171" fontId="7" fillId="0" borderId="3" xfId="0" applyNumberFormat="1" applyFont="1" applyBorder="1"/>
    <xf numFmtId="171" fontId="7" fillId="2" borderId="3" xfId="0" applyNumberFormat="1" applyFont="1" applyFill="1" applyBorder="1"/>
    <xf numFmtId="171" fontId="6" fillId="0" borderId="3" xfId="0" applyNumberFormat="1" applyFont="1" applyBorder="1" applyAlignment="1">
      <alignment horizontal="right"/>
    </xf>
    <xf numFmtId="171" fontId="6" fillId="2" borderId="3" xfId="0" applyNumberFormat="1" applyFont="1" applyFill="1" applyBorder="1" applyAlignment="1">
      <alignment horizontal="center"/>
    </xf>
    <xf numFmtId="171" fontId="6" fillId="0" borderId="3" xfId="0" applyNumberFormat="1" applyFont="1" applyBorder="1" applyAlignment="1">
      <alignment horizontal="center"/>
    </xf>
    <xf numFmtId="0" fontId="7" fillId="0" borderId="12" xfId="0" applyFont="1" applyBorder="1"/>
    <xf numFmtId="0" fontId="6" fillId="0" borderId="18" xfId="0" applyFont="1" applyBorder="1"/>
    <xf numFmtId="43" fontId="6" fillId="0" borderId="9" xfId="1" applyFont="1" applyBorder="1"/>
    <xf numFmtId="8" fontId="6" fillId="0" borderId="5" xfId="0" applyNumberFormat="1" applyFont="1" applyBorder="1"/>
    <xf numFmtId="0" fontId="7" fillId="0" borderId="20" xfId="0" applyFont="1" applyBorder="1"/>
    <xf numFmtId="43" fontId="6" fillId="0" borderId="21" xfId="1" applyFont="1" applyBorder="1"/>
    <xf numFmtId="0" fontId="7" fillId="0" borderId="10" xfId="0" applyFont="1" applyBorder="1"/>
    <xf numFmtId="0" fontId="21" fillId="0" borderId="0" xfId="0" applyFont="1"/>
    <xf numFmtId="3" fontId="6" fillId="0" borderId="4" xfId="0" applyNumberFormat="1" applyFont="1" applyBorder="1"/>
    <xf numFmtId="43" fontId="22" fillId="0" borderId="3" xfId="0" applyNumberFormat="1" applyFont="1" applyBorder="1"/>
    <xf numFmtId="3" fontId="7" fillId="0" borderId="4" xfId="0" applyNumberFormat="1" applyFont="1" applyBorder="1"/>
    <xf numFmtId="43" fontId="23" fillId="0" borderId="14" xfId="1" applyFont="1" applyBorder="1"/>
    <xf numFmtId="4" fontId="7" fillId="0" borderId="14" xfId="0" applyNumberFormat="1" applyFont="1" applyBorder="1"/>
    <xf numFmtId="0" fontId="24" fillId="0" borderId="4" xfId="0" applyFont="1" applyBorder="1"/>
    <xf numFmtId="169" fontId="24" fillId="0" borderId="5" xfId="0" applyNumberFormat="1" applyFont="1" applyBorder="1"/>
    <xf numFmtId="169" fontId="7" fillId="0" borderId="3" xfId="0" applyNumberFormat="1" applyFont="1" applyBorder="1"/>
    <xf numFmtId="43" fontId="7" fillId="0" borderId="3" xfId="0" applyNumberFormat="1" applyFont="1" applyBorder="1"/>
    <xf numFmtId="169" fontId="24" fillId="0" borderId="3" xfId="0" applyNumberFormat="1" applyFont="1" applyBorder="1"/>
    <xf numFmtId="0" fontId="0" fillId="0" borderId="0" xfId="0" applyAlignment="1">
      <alignment horizontal="right"/>
    </xf>
    <xf numFmtId="0" fontId="25" fillId="0" borderId="0" xfId="0" applyFont="1"/>
    <xf numFmtId="169" fontId="0" fillId="0" borderId="0" xfId="0" applyNumberFormat="1" applyAlignment="1">
      <alignment horizontal="right"/>
    </xf>
    <xf numFmtId="169" fontId="25" fillId="0" borderId="0" xfId="0" applyNumberFormat="1" applyFont="1" applyAlignment="1">
      <alignment horizontal="right"/>
    </xf>
    <xf numFmtId="43" fontId="0" fillId="0" borderId="0" xfId="0" applyNumberFormat="1" applyAlignment="1">
      <alignment horizontal="right"/>
    </xf>
    <xf numFmtId="0" fontId="26" fillId="0" borderId="0" xfId="0" applyFont="1"/>
    <xf numFmtId="169" fontId="0" fillId="0" borderId="0" xfId="0" applyNumberFormat="1"/>
    <xf numFmtId="0" fontId="25" fillId="0" borderId="0" xfId="0" applyFont="1" applyAlignment="1">
      <alignment horizontal="center"/>
    </xf>
    <xf numFmtId="169" fontId="26" fillId="0" borderId="0" xfId="0" applyNumberFormat="1" applyFont="1" applyAlignment="1">
      <alignment horizontal="right"/>
    </xf>
    <xf numFmtId="3" fontId="6" fillId="0" borderId="3" xfId="0" applyNumberFormat="1" applyFont="1" applyBorder="1"/>
    <xf numFmtId="3" fontId="6" fillId="2" borderId="3" xfId="0" applyNumberFormat="1" applyFont="1" applyFill="1" applyBorder="1"/>
    <xf numFmtId="43" fontId="23" fillId="2" borderId="3" xfId="1" applyFont="1" applyFill="1" applyBorder="1"/>
    <xf numFmtId="0" fontId="7" fillId="0" borderId="18" xfId="0" applyFont="1" applyBorder="1"/>
    <xf numFmtId="4" fontId="23" fillId="2" borderId="3" xfId="0" applyNumberFormat="1" applyFont="1" applyFill="1" applyBorder="1"/>
    <xf numFmtId="3" fontId="7" fillId="2" borderId="3" xfId="0" applyNumberFormat="1" applyFont="1" applyFill="1" applyBorder="1"/>
    <xf numFmtId="3" fontId="23" fillId="2" borderId="3" xfId="0" applyNumberFormat="1" applyFont="1" applyFill="1" applyBorder="1"/>
    <xf numFmtId="43" fontId="22" fillId="2" borderId="3" xfId="1" applyFont="1" applyFill="1" applyBorder="1"/>
    <xf numFmtId="4" fontId="7" fillId="0" borderId="3" xfId="0" applyNumberFormat="1" applyFont="1" applyBorder="1"/>
    <xf numFmtId="4" fontId="7" fillId="0" borderId="14" xfId="0" applyNumberFormat="1" applyFont="1" applyBorder="1" applyAlignment="1">
      <alignment horizontal="center"/>
    </xf>
    <xf numFmtId="4" fontId="22" fillId="2" borderId="3" xfId="0" applyNumberFormat="1" applyFont="1" applyFill="1" applyBorder="1"/>
    <xf numFmtId="3" fontId="6" fillId="2" borderId="3" xfId="0" applyNumberFormat="1" applyFont="1" applyFill="1" applyBorder="1" applyAlignment="1">
      <alignment horizontal="center"/>
    </xf>
    <xf numFmtId="4" fontId="7" fillId="0" borderId="0" xfId="0" applyNumberFormat="1" applyFont="1"/>
    <xf numFmtId="43" fontId="23" fillId="0" borderId="3" xfId="1" applyFont="1" applyFill="1" applyBorder="1"/>
    <xf numFmtId="0" fontId="7" fillId="0" borderId="3" xfId="0" applyFont="1" applyBorder="1" applyAlignment="1">
      <alignment horizontal="center"/>
    </xf>
    <xf numFmtId="43" fontId="23" fillId="3" borderId="3" xfId="1" applyFont="1" applyFill="1" applyBorder="1"/>
    <xf numFmtId="2" fontId="20" fillId="2" borderId="3" xfId="0" applyNumberFormat="1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171" fontId="27" fillId="0" borderId="3" xfId="0" applyNumberFormat="1" applyFont="1" applyBorder="1"/>
    <xf numFmtId="170" fontId="0" fillId="0" borderId="3" xfId="0" applyNumberFormat="1" applyBorder="1"/>
    <xf numFmtId="171" fontId="0" fillId="0" borderId="3" xfId="0" applyNumberFormat="1" applyBorder="1"/>
    <xf numFmtId="0" fontId="20" fillId="2" borderId="3" xfId="0" applyFont="1" applyFill="1" applyBorder="1" applyAlignment="1">
      <alignment horizontal="center"/>
    </xf>
    <xf numFmtId="171" fontId="20" fillId="2" borderId="3" xfId="0" applyNumberFormat="1" applyFont="1" applyFill="1" applyBorder="1" applyAlignment="1">
      <alignment horizontal="center"/>
    </xf>
    <xf numFmtId="170" fontId="20" fillId="2" borderId="3" xfId="0" applyNumberFormat="1" applyFont="1" applyFill="1" applyBorder="1" applyAlignment="1">
      <alignment horizontal="center"/>
    </xf>
    <xf numFmtId="171" fontId="0" fillId="0" borderId="0" xfId="0" applyNumberFormat="1"/>
    <xf numFmtId="170" fontId="0" fillId="0" borderId="0" xfId="0" applyNumberFormat="1"/>
    <xf numFmtId="0" fontId="0" fillId="2" borderId="3" xfId="0" applyFill="1" applyBorder="1"/>
    <xf numFmtId="170" fontId="20" fillId="0" borderId="0" xfId="0" applyNumberFormat="1" applyFont="1" applyAlignment="1">
      <alignment horizontal="center"/>
    </xf>
    <xf numFmtId="0" fontId="20" fillId="2" borderId="3" xfId="0" applyFont="1" applyFill="1" applyBorder="1" applyAlignment="1">
      <alignment horizontal="center" wrapText="1"/>
    </xf>
    <xf numFmtId="0" fontId="22" fillId="0" borderId="3" xfId="0" applyFont="1" applyBorder="1"/>
    <xf numFmtId="0" fontId="23" fillId="0" borderId="3" xfId="0" applyFont="1" applyBorder="1" applyAlignment="1">
      <alignment horizontal="center"/>
    </xf>
    <xf numFmtId="0" fontId="7" fillId="0" borderId="7" xfId="0" applyFont="1" applyBorder="1"/>
    <xf numFmtId="0" fontId="23" fillId="0" borderId="0" xfId="0" applyFont="1" applyAlignment="1">
      <alignment horizontal="center"/>
    </xf>
    <xf numFmtId="0" fontId="22" fillId="0" borderId="0" xfId="0" applyFont="1"/>
    <xf numFmtId="0" fontId="22" fillId="0" borderId="3" xfId="0" applyFont="1" applyBorder="1" applyAlignment="1">
      <alignment horizontal="center"/>
    </xf>
    <xf numFmtId="0" fontId="7" fillId="0" borderId="25" xfId="0" applyFont="1" applyBorder="1"/>
    <xf numFmtId="43" fontId="23" fillId="0" borderId="3" xfId="1" applyFont="1" applyBorder="1" applyAlignment="1">
      <alignment horizontal="center"/>
    </xf>
    <xf numFmtId="0" fontId="23" fillId="0" borderId="0" xfId="0" applyFont="1"/>
    <xf numFmtId="43" fontId="22" fillId="3" borderId="3" xfId="0" applyNumberFormat="1" applyFont="1" applyFill="1" applyBorder="1"/>
    <xf numFmtId="0" fontId="7" fillId="0" borderId="15" xfId="0" applyFont="1" applyBorder="1"/>
    <xf numFmtId="3" fontId="7" fillId="0" borderId="3" xfId="0" applyNumberFormat="1" applyFont="1" applyBorder="1" applyAlignment="1">
      <alignment horizontal="center"/>
    </xf>
    <xf numFmtId="44" fontId="7" fillId="0" borderId="3" xfId="2" applyFont="1" applyBorder="1" applyAlignment="1">
      <alignment horizontal="center"/>
    </xf>
    <xf numFmtId="0" fontId="6" fillId="0" borderId="15" xfId="0" applyFont="1" applyBorder="1"/>
    <xf numFmtId="44" fontId="6" fillId="0" borderId="3" xfId="2" applyFont="1" applyBorder="1" applyAlignment="1">
      <alignment horizont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44" fontId="7" fillId="0" borderId="0" xfId="2" applyFont="1" applyBorder="1" applyAlignment="1">
      <alignment horizontal="center"/>
    </xf>
    <xf numFmtId="44" fontId="6" fillId="0" borderId="0" xfId="2" applyFont="1" applyBorder="1" applyAlignment="1">
      <alignment horizontal="center"/>
    </xf>
    <xf numFmtId="44" fontId="7" fillId="0" borderId="0" xfId="0" applyNumberFormat="1" applyFont="1"/>
    <xf numFmtId="0" fontId="7" fillId="0" borderId="3" xfId="0" applyFont="1" applyBorder="1" applyAlignment="1">
      <alignment horizontal="center" vertical="top" wrapText="1"/>
    </xf>
    <xf numFmtId="174" fontId="7" fillId="0" borderId="3" xfId="0" applyNumberFormat="1" applyFont="1" applyBorder="1"/>
    <xf numFmtId="2" fontId="7" fillId="0" borderId="3" xfId="0" applyNumberFormat="1" applyFont="1" applyBorder="1"/>
    <xf numFmtId="175" fontId="7" fillId="0" borderId="3" xfId="0" applyNumberFormat="1" applyFont="1" applyBorder="1"/>
    <xf numFmtId="0" fontId="7" fillId="0" borderId="7" xfId="0" applyFont="1" applyBorder="1" applyAlignment="1">
      <alignment horizontal="center" vertical="top" wrapText="1"/>
    </xf>
    <xf numFmtId="44" fontId="6" fillId="0" borderId="6" xfId="2" applyFont="1" applyBorder="1" applyAlignment="1">
      <alignment horizontal="center"/>
    </xf>
    <xf numFmtId="0" fontId="7" fillId="8" borderId="3" xfId="0" applyFont="1" applyFill="1" applyBorder="1"/>
    <xf numFmtId="0" fontId="28" fillId="0" borderId="0" xfId="0" applyFont="1"/>
    <xf numFmtId="0" fontId="29" fillId="0" borderId="0" xfId="0" applyFont="1"/>
    <xf numFmtId="4" fontId="29" fillId="0" borderId="0" xfId="0" applyNumberFormat="1" applyFont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6" fillId="0" borderId="9" xfId="0" applyFont="1" applyBorder="1"/>
    <xf numFmtId="0" fontId="7" fillId="0" borderId="29" xfId="0" applyFont="1" applyBorder="1"/>
    <xf numFmtId="0" fontId="7" fillId="0" borderId="12" xfId="0" applyFont="1" applyBorder="1" applyAlignment="1">
      <alignment horizontal="center"/>
    </xf>
    <xf numFmtId="0" fontId="6" fillId="0" borderId="12" xfId="0" applyFont="1" applyBorder="1"/>
    <xf numFmtId="165" fontId="7" fillId="0" borderId="0" xfId="2" applyNumberFormat="1" applyFont="1" applyBorder="1"/>
    <xf numFmtId="4" fontId="28" fillId="0" borderId="0" xfId="0" applyNumberFormat="1" applyFont="1"/>
    <xf numFmtId="165" fontId="28" fillId="0" borderId="0" xfId="2" applyNumberFormat="1" applyFont="1" applyBorder="1"/>
    <xf numFmtId="0" fontId="30" fillId="0" borderId="0" xfId="0" applyFont="1"/>
    <xf numFmtId="0" fontId="22" fillId="6" borderId="3" xfId="0" applyFont="1" applyFill="1" applyBorder="1"/>
    <xf numFmtId="0" fontId="22" fillId="6" borderId="3" xfId="0" applyFont="1" applyFill="1" applyBorder="1" applyAlignment="1">
      <alignment horizontal="center"/>
    </xf>
    <xf numFmtId="43" fontId="22" fillId="0" borderId="3" xfId="1" applyFont="1" applyBorder="1" applyAlignment="1">
      <alignment horizontal="center"/>
    </xf>
    <xf numFmtId="43" fontId="22" fillId="0" borderId="3" xfId="1" applyFont="1" applyBorder="1"/>
    <xf numFmtId="0" fontId="14" fillId="0" borderId="0" xfId="0" applyFont="1"/>
    <xf numFmtId="4" fontId="0" fillId="0" borderId="0" xfId="0" applyNumberFormat="1"/>
    <xf numFmtId="172" fontId="0" fillId="0" borderId="0" xfId="0" applyNumberFormat="1"/>
    <xf numFmtId="165" fontId="0" fillId="0" borderId="0" xfId="0" applyNumberFormat="1"/>
    <xf numFmtId="165" fontId="28" fillId="0" borderId="0" xfId="0" applyNumberFormat="1" applyFont="1"/>
    <xf numFmtId="0" fontId="31" fillId="0" borderId="0" xfId="0" applyFont="1"/>
    <xf numFmtId="4" fontId="7" fillId="0" borderId="0" xfId="0" applyNumberFormat="1" applyFont="1" applyAlignment="1">
      <alignment horizontal="center"/>
    </xf>
    <xf numFmtId="9" fontId="6" fillId="0" borderId="0" xfId="3" applyFont="1"/>
    <xf numFmtId="44" fontId="7" fillId="0" borderId="3" xfId="0" applyNumberFormat="1" applyFont="1" applyBorder="1"/>
    <xf numFmtId="44" fontId="0" fillId="0" borderId="0" xfId="0" applyNumberFormat="1"/>
    <xf numFmtId="0" fontId="23" fillId="0" borderId="8" xfId="0" applyFont="1" applyBorder="1" applyAlignment="1">
      <alignment horizontal="left"/>
    </xf>
    <xf numFmtId="0" fontId="7" fillId="0" borderId="3" xfId="0" applyFont="1" applyBorder="1" applyAlignment="1">
      <alignment horizontal="center" vertical="center" wrapText="1"/>
    </xf>
    <xf numFmtId="44" fontId="7" fillId="0" borderId="3" xfId="2" applyFont="1" applyBorder="1"/>
    <xf numFmtId="0" fontId="23" fillId="0" borderId="0" xfId="0" applyFont="1" applyAlignment="1">
      <alignment horizontal="left"/>
    </xf>
    <xf numFmtId="0" fontId="7" fillId="0" borderId="15" xfId="0" applyFont="1" applyBorder="1" applyAlignment="1">
      <alignment horizontal="center" vertical="center" wrapText="1"/>
    </xf>
    <xf numFmtId="44" fontId="7" fillId="0" borderId="3" xfId="0" applyNumberFormat="1" applyFont="1" applyBorder="1" applyAlignment="1">
      <alignment horizontal="center"/>
    </xf>
    <xf numFmtId="0" fontId="23" fillId="0" borderId="3" xfId="0" applyFont="1" applyBorder="1" applyAlignment="1">
      <alignment horizontal="left"/>
    </xf>
    <xf numFmtId="0" fontId="7" fillId="0" borderId="18" xfId="0" applyFont="1" applyBorder="1" applyAlignment="1">
      <alignment horizontal="justify" vertical="center" wrapText="1"/>
    </xf>
    <xf numFmtId="43" fontId="7" fillId="0" borderId="15" xfId="1" applyFont="1" applyFill="1" applyBorder="1"/>
    <xf numFmtId="44" fontId="7" fillId="0" borderId="15" xfId="2" applyFont="1" applyFill="1" applyBorder="1"/>
    <xf numFmtId="4" fontId="6" fillId="0" borderId="15" xfId="5" applyNumberFormat="1" applyFont="1" applyBorder="1" applyAlignment="1">
      <alignment horizontal="center"/>
    </xf>
    <xf numFmtId="4" fontId="7" fillId="0" borderId="3" xfId="0" applyNumberFormat="1" applyFont="1" applyBorder="1" applyAlignment="1">
      <alignment horizontal="center"/>
    </xf>
    <xf numFmtId="0" fontId="32" fillId="8" borderId="3" xfId="0" applyFont="1" applyFill="1" applyBorder="1"/>
    <xf numFmtId="0" fontId="33" fillId="8" borderId="3" xfId="0" applyFont="1" applyFill="1" applyBorder="1"/>
    <xf numFmtId="44" fontId="32" fillId="8" borderId="3" xfId="2" applyFont="1" applyFill="1" applyBorder="1"/>
    <xf numFmtId="44" fontId="6" fillId="8" borderId="3" xfId="0" applyNumberFormat="1" applyFont="1" applyFill="1" applyBorder="1"/>
    <xf numFmtId="44" fontId="6" fillId="8" borderId="3" xfId="2" applyFont="1" applyFill="1" applyBorder="1"/>
    <xf numFmtId="0" fontId="34" fillId="8" borderId="3" xfId="0" applyFont="1" applyFill="1" applyBorder="1"/>
    <xf numFmtId="9" fontId="34" fillId="8" borderId="3" xfId="3" applyFont="1" applyFill="1" applyBorder="1"/>
    <xf numFmtId="169" fontId="7" fillId="0" borderId="0" xfId="0" applyNumberFormat="1" applyFont="1"/>
    <xf numFmtId="169" fontId="20" fillId="0" borderId="0" xfId="0" applyNumberFormat="1" applyFont="1"/>
    <xf numFmtId="0" fontId="7" fillId="8" borderId="30" xfId="0" applyFont="1" applyFill="1" applyBorder="1"/>
    <xf numFmtId="9" fontId="6" fillId="8" borderId="11" xfId="3" applyFont="1" applyFill="1" applyBorder="1" applyAlignment="1">
      <alignment horizontal="center"/>
    </xf>
    <xf numFmtId="0" fontId="7" fillId="8" borderId="11" xfId="0" applyFont="1" applyFill="1" applyBorder="1"/>
    <xf numFmtId="0" fontId="40" fillId="0" borderId="0" xfId="0" applyFont="1"/>
    <xf numFmtId="0" fontId="7" fillId="8" borderId="31" xfId="0" applyFont="1" applyFill="1" applyBorder="1"/>
    <xf numFmtId="9" fontId="6" fillId="8" borderId="3" xfId="3" applyFont="1" applyFill="1" applyBorder="1" applyAlignment="1">
      <alignment horizontal="center"/>
    </xf>
    <xf numFmtId="0" fontId="7" fillId="8" borderId="32" xfId="0" applyFont="1" applyFill="1" applyBorder="1"/>
    <xf numFmtId="0" fontId="7" fillId="8" borderId="6" xfId="0" applyFont="1" applyFill="1" applyBorder="1"/>
    <xf numFmtId="0" fontId="0" fillId="0" borderId="33" xfId="0" applyBorder="1"/>
    <xf numFmtId="0" fontId="7" fillId="0" borderId="3" xfId="0" applyFont="1" applyBorder="1" applyAlignment="1">
      <alignment wrapText="1"/>
    </xf>
    <xf numFmtId="0" fontId="41" fillId="0" borderId="33" xfId="0" applyFont="1" applyBorder="1"/>
    <xf numFmtId="176" fontId="7" fillId="0" borderId="3" xfId="2" applyNumberFormat="1" applyFont="1" applyBorder="1" applyAlignment="1">
      <alignment horizontal="center"/>
    </xf>
    <xf numFmtId="9" fontId="23" fillId="0" borderId="3" xfId="0" applyNumberFormat="1" applyFont="1" applyBorder="1" applyAlignment="1">
      <alignment horizontal="center"/>
    </xf>
    <xf numFmtId="176" fontId="23" fillId="0" borderId="3" xfId="0" applyNumberFormat="1" applyFont="1" applyBorder="1" applyAlignment="1">
      <alignment horizontal="center"/>
    </xf>
    <xf numFmtId="0" fontId="0" fillId="0" borderId="10" xfId="0" applyBorder="1"/>
    <xf numFmtId="0" fontId="0" fillId="0" borderId="21" xfId="0" applyBorder="1"/>
    <xf numFmtId="9" fontId="0" fillId="0" borderId="21" xfId="0" applyNumberFormat="1" applyBorder="1"/>
    <xf numFmtId="176" fontId="0" fillId="0" borderId="21" xfId="0" applyNumberFormat="1" applyBorder="1"/>
    <xf numFmtId="0" fontId="0" fillId="7" borderId="3" xfId="0" applyFill="1" applyBorder="1"/>
    <xf numFmtId="0" fontId="0" fillId="7" borderId="15" xfId="0" applyFill="1" applyBorder="1"/>
    <xf numFmtId="0" fontId="0" fillId="7" borderId="10" xfId="0" applyFill="1" applyBorder="1"/>
    <xf numFmtId="176" fontId="0" fillId="0" borderId="0" xfId="0" applyNumberFormat="1"/>
    <xf numFmtId="0" fontId="0" fillId="7" borderId="0" xfId="0" applyFill="1"/>
    <xf numFmtId="9" fontId="0" fillId="0" borderId="0" xfId="0" applyNumberFormat="1"/>
    <xf numFmtId="10" fontId="34" fillId="8" borderId="3" xfId="3" applyNumberFormat="1" applyFont="1" applyFill="1" applyBorder="1"/>
    <xf numFmtId="0" fontId="0" fillId="0" borderId="34" xfId="0" applyBorder="1"/>
    <xf numFmtId="171" fontId="0" fillId="0" borderId="34" xfId="0" applyNumberFormat="1" applyBorder="1"/>
    <xf numFmtId="177" fontId="7" fillId="0" borderId="3" xfId="0" applyNumberFormat="1" applyFont="1" applyBorder="1" applyAlignment="1">
      <alignment horizontal="center"/>
    </xf>
    <xf numFmtId="0" fontId="7" fillId="0" borderId="18" xfId="0" applyFont="1" applyBorder="1" applyAlignment="1">
      <alignment wrapText="1"/>
    </xf>
    <xf numFmtId="44" fontId="7" fillId="0" borderId="6" xfId="0" applyNumberFormat="1" applyFont="1" applyBorder="1"/>
    <xf numFmtId="176" fontId="7" fillId="0" borderId="11" xfId="0" applyNumberFormat="1" applyFont="1" applyBorder="1"/>
    <xf numFmtId="176" fontId="7" fillId="0" borderId="3" xfId="0" applyNumberFormat="1" applyFont="1" applyBorder="1"/>
    <xf numFmtId="0" fontId="6" fillId="0" borderId="9" xfId="1" applyNumberFormat="1" applyFont="1" applyBorder="1"/>
    <xf numFmtId="0" fontId="4" fillId="0" borderId="0" xfId="9" applyFont="1"/>
    <xf numFmtId="0" fontId="45" fillId="0" borderId="0" xfId="9" applyFont="1"/>
    <xf numFmtId="0" fontId="46" fillId="9" borderId="0" xfId="9" applyFont="1" applyFill="1"/>
    <xf numFmtId="0" fontId="47" fillId="0" borderId="0" xfId="9" applyFont="1"/>
    <xf numFmtId="14" fontId="47" fillId="0" borderId="0" xfId="9" applyNumberFormat="1" applyFont="1"/>
    <xf numFmtId="170" fontId="47" fillId="0" borderId="0" xfId="9" applyNumberFormat="1" applyFont="1"/>
    <xf numFmtId="9" fontId="47" fillId="0" borderId="0" xfId="10" applyFont="1"/>
    <xf numFmtId="0" fontId="48" fillId="0" borderId="0" xfId="9" applyFont="1"/>
    <xf numFmtId="0" fontId="44" fillId="9" borderId="0" xfId="9" applyFont="1" applyFill="1"/>
    <xf numFmtId="0" fontId="44" fillId="0" borderId="0" xfId="9" applyFont="1"/>
    <xf numFmtId="14" fontId="49" fillId="4" borderId="0" xfId="9" applyNumberFormat="1" applyFont="1" applyFill="1"/>
    <xf numFmtId="10" fontId="0" fillId="0" borderId="38" xfId="10" applyNumberFormat="1" applyFont="1" applyBorder="1"/>
    <xf numFmtId="10" fontId="0" fillId="0" borderId="40" xfId="10" applyNumberFormat="1" applyFont="1" applyBorder="1"/>
    <xf numFmtId="10" fontId="0" fillId="0" borderId="41" xfId="10" applyNumberFormat="1" applyFont="1" applyBorder="1"/>
    <xf numFmtId="10" fontId="0" fillId="0" borderId="43" xfId="10" applyNumberFormat="1" applyFont="1" applyBorder="1"/>
    <xf numFmtId="170" fontId="43" fillId="4" borderId="0" xfId="9" applyNumberFormat="1" applyFont="1" applyFill="1"/>
    <xf numFmtId="0" fontId="46" fillId="9" borderId="0" xfId="9" applyFont="1" applyFill="1" applyAlignment="1">
      <alignment horizontal="center"/>
    </xf>
    <xf numFmtId="170" fontId="50" fillId="0" borderId="0" xfId="9" applyNumberFormat="1" applyFont="1"/>
    <xf numFmtId="9" fontId="50" fillId="0" borderId="0" xfId="9" applyNumberFormat="1" applyFont="1"/>
    <xf numFmtId="0" fontId="43" fillId="0" borderId="0" xfId="9" applyFont="1" applyAlignment="1">
      <alignment horizontal="center"/>
    </xf>
    <xf numFmtId="0" fontId="42" fillId="9" borderId="0" xfId="9" applyFont="1" applyFill="1"/>
    <xf numFmtId="0" fontId="44" fillId="9" borderId="0" xfId="9" applyFont="1" applyFill="1" applyAlignment="1">
      <alignment horizontal="center"/>
    </xf>
    <xf numFmtId="164" fontId="7" fillId="0" borderId="3" xfId="2" applyNumberFormat="1" applyFont="1" applyBorder="1" applyAlignment="1">
      <alignment horizontal="center"/>
    </xf>
    <xf numFmtId="0" fontId="3" fillId="0" borderId="0" xfId="9" applyFont="1"/>
    <xf numFmtId="44" fontId="0" fillId="0" borderId="0" xfId="11" applyFont="1"/>
    <xf numFmtId="44" fontId="0" fillId="8" borderId="48" xfId="11" applyFont="1" applyFill="1" applyBorder="1" applyAlignment="1">
      <alignment horizontal="center"/>
    </xf>
    <xf numFmtId="44" fontId="0" fillId="4" borderId="49" xfId="11" applyFont="1" applyFill="1" applyBorder="1"/>
    <xf numFmtId="44" fontId="0" fillId="8" borderId="49" xfId="11" applyFont="1" applyFill="1" applyBorder="1"/>
    <xf numFmtId="44" fontId="0" fillId="4" borderId="50" xfId="11" applyFont="1" applyFill="1" applyBorder="1"/>
    <xf numFmtId="10" fontId="0" fillId="8" borderId="51" xfId="11" applyNumberFormat="1" applyFont="1" applyFill="1" applyBorder="1"/>
    <xf numFmtId="44" fontId="0" fillId="4" borderId="52" xfId="11" applyFont="1" applyFill="1" applyBorder="1"/>
    <xf numFmtId="44" fontId="0" fillId="8" borderId="52" xfId="11" applyFont="1" applyFill="1" applyBorder="1"/>
    <xf numFmtId="44" fontId="0" fillId="4" borderId="0" xfId="11" applyFont="1" applyFill="1"/>
    <xf numFmtId="44" fontId="0" fillId="4" borderId="53" xfId="11" applyFont="1" applyFill="1" applyBorder="1"/>
    <xf numFmtId="44" fontId="0" fillId="8" borderId="53" xfId="11" applyFont="1" applyFill="1" applyBorder="1"/>
    <xf numFmtId="10" fontId="0" fillId="8" borderId="54" xfId="11" applyNumberFormat="1" applyFont="1" applyFill="1" applyBorder="1"/>
    <xf numFmtId="44" fontId="51" fillId="0" borderId="0" xfId="11" applyFont="1"/>
    <xf numFmtId="44" fontId="0" fillId="8" borderId="0" xfId="11" applyFont="1" applyFill="1"/>
    <xf numFmtId="44" fontId="0" fillId="8" borderId="51" xfId="11" applyFont="1" applyFill="1" applyBorder="1"/>
    <xf numFmtId="0" fontId="51" fillId="0" borderId="0" xfId="9" applyFont="1"/>
    <xf numFmtId="44" fontId="0" fillId="0" borderId="53" xfId="11" applyFont="1" applyBorder="1"/>
    <xf numFmtId="44" fontId="0" fillId="0" borderId="55" xfId="11" applyFont="1" applyBorder="1"/>
    <xf numFmtId="44" fontId="0" fillId="4" borderId="57" xfId="11" applyFont="1" applyFill="1" applyBorder="1"/>
    <xf numFmtId="0" fontId="43" fillId="0" borderId="0" xfId="9" applyFont="1"/>
    <xf numFmtId="0" fontId="52" fillId="0" borderId="0" xfId="9" applyFont="1"/>
    <xf numFmtId="44" fontId="0" fillId="0" borderId="56" xfId="11" applyFont="1" applyBorder="1"/>
    <xf numFmtId="173" fontId="0" fillId="0" borderId="0" xfId="10" applyNumberFormat="1" applyFont="1"/>
    <xf numFmtId="176" fontId="7" fillId="0" borderId="0" xfId="0" applyNumberFormat="1" applyFont="1"/>
    <xf numFmtId="176" fontId="7" fillId="10" borderId="3" xfId="0" applyNumberFormat="1" applyFont="1" applyFill="1" applyBorder="1"/>
    <xf numFmtId="0" fontId="53" fillId="0" borderId="3" xfId="0" applyFont="1" applyBorder="1"/>
    <xf numFmtId="176" fontId="7" fillId="0" borderId="22" xfId="0" applyNumberFormat="1" applyFont="1" applyBorder="1"/>
    <xf numFmtId="10" fontId="0" fillId="0" borderId="0" xfId="0" applyNumberFormat="1"/>
    <xf numFmtId="8" fontId="0" fillId="0" borderId="0" xfId="0" applyNumberFormat="1"/>
    <xf numFmtId="176" fontId="23" fillId="0" borderId="3" xfId="1" applyNumberFormat="1" applyFont="1" applyBorder="1" applyAlignment="1">
      <alignment horizontal="center"/>
    </xf>
    <xf numFmtId="170" fontId="0" fillId="0" borderId="4" xfId="0" applyNumberFormat="1" applyBorder="1"/>
    <xf numFmtId="2" fontId="20" fillId="2" borderId="14" xfId="0" applyNumberFormat="1" applyFont="1" applyFill="1" applyBorder="1" applyAlignment="1">
      <alignment horizontal="center" wrapText="1"/>
    </xf>
    <xf numFmtId="43" fontId="0" fillId="0" borderId="0" xfId="0" applyNumberFormat="1"/>
    <xf numFmtId="14" fontId="0" fillId="0" borderId="0" xfId="0" applyNumberFormat="1"/>
    <xf numFmtId="176" fontId="23" fillId="0" borderId="0" xfId="0" applyNumberFormat="1" applyFont="1" applyAlignment="1">
      <alignment horizontal="center"/>
    </xf>
    <xf numFmtId="43" fontId="6" fillId="0" borderId="0" xfId="0" applyNumberFormat="1" applyFont="1"/>
    <xf numFmtId="176" fontId="6" fillId="0" borderId="0" xfId="0" applyNumberFormat="1" applyFont="1"/>
    <xf numFmtId="4" fontId="6" fillId="0" borderId="5" xfId="0" applyNumberFormat="1" applyFont="1" applyBorder="1" applyAlignment="1">
      <alignment horizontal="center"/>
    </xf>
    <xf numFmtId="180" fontId="7" fillId="0" borderId="3" xfId="0" applyNumberFormat="1" applyFont="1" applyBorder="1"/>
    <xf numFmtId="1" fontId="6" fillId="0" borderId="0" xfId="0" applyNumberFormat="1" applyFont="1"/>
    <xf numFmtId="1" fontId="7" fillId="0" borderId="0" xfId="0" applyNumberFormat="1" applyFont="1"/>
    <xf numFmtId="43" fontId="7" fillId="0" borderId="0" xfId="0" applyNumberFormat="1" applyFont="1"/>
    <xf numFmtId="0" fontId="2" fillId="9" borderId="0" xfId="9" applyFont="1" applyFill="1"/>
    <xf numFmtId="0" fontId="2" fillId="0" borderId="0" xfId="9" applyFont="1"/>
    <xf numFmtId="170" fontId="2" fillId="0" borderId="0" xfId="9" applyNumberFormat="1" applyFont="1"/>
    <xf numFmtId="9" fontId="2" fillId="0" borderId="0" xfId="9" applyNumberFormat="1" applyFont="1"/>
    <xf numFmtId="170" fontId="2" fillId="0" borderId="35" xfId="9" applyNumberFormat="1" applyFont="1" applyBorder="1"/>
    <xf numFmtId="170" fontId="2" fillId="0" borderId="36" xfId="9" applyNumberFormat="1" applyFont="1" applyBorder="1"/>
    <xf numFmtId="0" fontId="2" fillId="4" borderId="0" xfId="9" applyFont="1" applyFill="1"/>
    <xf numFmtId="170" fontId="2" fillId="4" borderId="0" xfId="9" applyNumberFormat="1" applyFont="1" applyFill="1"/>
    <xf numFmtId="9" fontId="2" fillId="4" borderId="0" xfId="9" applyNumberFormat="1" applyFont="1" applyFill="1"/>
    <xf numFmtId="0" fontId="2" fillId="0" borderId="35" xfId="9" applyFont="1" applyBorder="1"/>
    <xf numFmtId="0" fontId="2" fillId="0" borderId="39" xfId="9" applyFont="1" applyBorder="1"/>
    <xf numFmtId="0" fontId="2" fillId="0" borderId="36" xfId="9" applyFont="1" applyBorder="1"/>
    <xf numFmtId="0" fontId="2" fillId="0" borderId="42" xfId="9" applyFont="1" applyBorder="1"/>
    <xf numFmtId="10" fontId="2" fillId="0" borderId="38" xfId="9" applyNumberFormat="1" applyFont="1" applyBorder="1"/>
    <xf numFmtId="14" fontId="2" fillId="0" borderId="0" xfId="9" applyNumberFormat="1" applyFont="1"/>
    <xf numFmtId="10" fontId="2" fillId="0" borderId="40" xfId="9" applyNumberFormat="1" applyFont="1" applyBorder="1"/>
    <xf numFmtId="10" fontId="2" fillId="0" borderId="41" xfId="9" applyNumberFormat="1" applyFont="1" applyBorder="1"/>
    <xf numFmtId="178" fontId="2" fillId="4" borderId="0" xfId="9" applyNumberFormat="1" applyFont="1" applyFill="1"/>
    <xf numFmtId="170" fontId="2" fillId="4" borderId="44" xfId="9" applyNumberFormat="1" applyFont="1" applyFill="1" applyBorder="1"/>
    <xf numFmtId="178" fontId="2" fillId="4" borderId="43" xfId="9" applyNumberFormat="1" applyFont="1" applyFill="1" applyBorder="1"/>
    <xf numFmtId="170" fontId="2" fillId="4" borderId="36" xfId="9" applyNumberFormat="1" applyFont="1" applyFill="1" applyBorder="1"/>
    <xf numFmtId="178" fontId="2" fillId="4" borderId="41" xfId="9" applyNumberFormat="1" applyFont="1" applyFill="1" applyBorder="1"/>
    <xf numFmtId="0" fontId="2" fillId="0" borderId="38" xfId="9" applyFont="1" applyBorder="1"/>
    <xf numFmtId="0" fontId="2" fillId="0" borderId="40" xfId="9" applyFont="1" applyBorder="1"/>
    <xf numFmtId="0" fontId="2" fillId="0" borderId="41" xfId="9" applyFont="1" applyBorder="1"/>
    <xf numFmtId="0" fontId="2" fillId="0" borderId="0" xfId="9" applyFont="1" applyAlignment="1">
      <alignment vertical="center"/>
    </xf>
    <xf numFmtId="0" fontId="2" fillId="0" borderId="52" xfId="9" applyFont="1" applyBorder="1"/>
    <xf numFmtId="10" fontId="2" fillId="8" borderId="51" xfId="9" applyNumberFormat="1" applyFont="1" applyFill="1" applyBorder="1"/>
    <xf numFmtId="176" fontId="2" fillId="8" borderId="52" xfId="9" applyNumberFormat="1" applyFont="1" applyFill="1" applyBorder="1"/>
    <xf numFmtId="43" fontId="2" fillId="8" borderId="52" xfId="9" applyNumberFormat="1" applyFont="1" applyFill="1" applyBorder="1"/>
    <xf numFmtId="3" fontId="2" fillId="0" borderId="0" xfId="9" applyNumberFormat="1" applyFont="1"/>
    <xf numFmtId="0" fontId="2" fillId="8" borderId="0" xfId="9" applyFont="1" applyFill="1"/>
    <xf numFmtId="44" fontId="2" fillId="0" borderId="0" xfId="9" applyNumberFormat="1" applyFont="1"/>
    <xf numFmtId="43" fontId="2" fillId="0" borderId="0" xfId="9" applyNumberFormat="1" applyFont="1"/>
    <xf numFmtId="43" fontId="2" fillId="8" borderId="0" xfId="9" applyNumberFormat="1" applyFont="1" applyFill="1"/>
    <xf numFmtId="0" fontId="2" fillId="8" borderId="52" xfId="9" applyFont="1" applyFill="1" applyBorder="1"/>
    <xf numFmtId="44" fontId="2" fillId="8" borderId="52" xfId="9" applyNumberFormat="1" applyFont="1" applyFill="1" applyBorder="1"/>
    <xf numFmtId="0" fontId="2" fillId="0" borderId="49" xfId="9" applyFont="1" applyBorder="1"/>
    <xf numFmtId="179" fontId="2" fillId="0" borderId="0" xfId="9" applyNumberFormat="1" applyFont="1"/>
    <xf numFmtId="176" fontId="2" fillId="0" borderId="0" xfId="9" applyNumberFormat="1" applyFont="1"/>
    <xf numFmtId="176" fontId="6" fillId="0" borderId="3" xfId="0" applyNumberFormat="1" applyFont="1" applyBorder="1" applyAlignment="1">
      <alignment horizontal="center"/>
    </xf>
    <xf numFmtId="44" fontId="0" fillId="0" borderId="0" xfId="2" applyFont="1"/>
    <xf numFmtId="44" fontId="29" fillId="0" borderId="0" xfId="2" applyFont="1"/>
    <xf numFmtId="44" fontId="6" fillId="8" borderId="3" xfId="2" applyFont="1" applyFill="1" applyBorder="1" applyAlignment="1">
      <alignment horizontal="center"/>
    </xf>
    <xf numFmtId="44" fontId="7" fillId="0" borderId="14" xfId="2" applyFont="1" applyBorder="1" applyAlignment="1">
      <alignment horizontal="center"/>
    </xf>
    <xf numFmtId="44" fontId="6" fillId="0" borderId="3" xfId="2" applyFont="1" applyBorder="1"/>
    <xf numFmtId="44" fontId="7" fillId="0" borderId="0" xfId="2" applyFont="1" applyBorder="1"/>
    <xf numFmtId="44" fontId="28" fillId="0" borderId="0" xfId="2" applyFont="1" applyBorder="1"/>
    <xf numFmtId="2" fontId="0" fillId="0" borderId="0" xfId="0" applyNumberFormat="1"/>
    <xf numFmtId="166" fontId="23" fillId="0" borderId="3" xfId="1" applyNumberFormat="1" applyFont="1" applyBorder="1" applyAlignment="1">
      <alignment horizontal="center"/>
    </xf>
    <xf numFmtId="165" fontId="23" fillId="0" borderId="3" xfId="1" applyNumberFormat="1" applyFont="1" applyBorder="1" applyAlignment="1">
      <alignment horizontal="center"/>
    </xf>
    <xf numFmtId="0" fontId="20" fillId="0" borderId="9" xfId="0" applyFont="1" applyBorder="1"/>
    <xf numFmtId="10" fontId="0" fillId="0" borderId="3" xfId="0" applyNumberFormat="1" applyBorder="1"/>
    <xf numFmtId="10" fontId="0" fillId="0" borderId="34" xfId="3" applyNumberFormat="1" applyFont="1" applyBorder="1"/>
    <xf numFmtId="0" fontId="54" fillId="0" borderId="0" xfId="0" applyFont="1" applyAlignment="1">
      <alignment vertical="center"/>
    </xf>
    <xf numFmtId="0" fontId="54" fillId="0" borderId="9" xfId="0" applyFont="1" applyBorder="1" applyAlignment="1">
      <alignment horizontal="center" vertical="center"/>
    </xf>
    <xf numFmtId="0" fontId="54" fillId="0" borderId="5" xfId="0" applyFont="1" applyBorder="1" applyAlignment="1">
      <alignment horizontal="center" vertical="center"/>
    </xf>
    <xf numFmtId="43" fontId="0" fillId="0" borderId="0" xfId="1" applyFont="1"/>
    <xf numFmtId="0" fontId="54" fillId="0" borderId="0" xfId="0" applyFont="1"/>
    <xf numFmtId="0" fontId="20" fillId="0" borderId="3" xfId="0" applyFont="1" applyBorder="1" applyAlignment="1">
      <alignment horizontal="center"/>
    </xf>
    <xf numFmtId="183" fontId="0" fillId="0" borderId="0" xfId="1" applyNumberFormat="1" applyFont="1"/>
    <xf numFmtId="182" fontId="0" fillId="0" borderId="0" xfId="1" applyNumberFormat="1" applyFont="1" applyAlignment="1">
      <alignment horizontal="center"/>
    </xf>
    <xf numFmtId="182" fontId="0" fillId="0" borderId="3" xfId="1" applyNumberFormat="1" applyFont="1" applyBorder="1" applyAlignment="1">
      <alignment horizontal="center"/>
    </xf>
    <xf numFmtId="43" fontId="0" fillId="0" borderId="3" xfId="1" applyFont="1" applyBorder="1"/>
    <xf numFmtId="43" fontId="0" fillId="0" borderId="3" xfId="0" applyNumberFormat="1" applyBorder="1"/>
    <xf numFmtId="182" fontId="0" fillId="12" borderId="3" xfId="1" applyNumberFormat="1" applyFont="1" applyFill="1" applyBorder="1" applyAlignment="1">
      <alignment horizontal="center"/>
    </xf>
    <xf numFmtId="43" fontId="0" fillId="12" borderId="3" xfId="1" applyFont="1" applyFill="1" applyBorder="1"/>
    <xf numFmtId="43" fontId="0" fillId="12" borderId="3" xfId="0" applyNumberFormat="1" applyFill="1" applyBorder="1"/>
    <xf numFmtId="44" fontId="20" fillId="0" borderId="9" xfId="2" applyFont="1" applyBorder="1" applyAlignment="1"/>
    <xf numFmtId="170" fontId="20" fillId="0" borderId="9" xfId="2" applyNumberFormat="1" applyFont="1" applyBorder="1" applyAlignment="1"/>
    <xf numFmtId="9" fontId="0" fillId="0" borderId="3" xfId="0" applyNumberFormat="1" applyBorder="1" applyAlignment="1">
      <alignment horizontal="center" vertical="center"/>
    </xf>
    <xf numFmtId="44" fontId="0" fillId="0" borderId="3" xfId="2" applyFont="1" applyBorder="1"/>
    <xf numFmtId="170" fontId="0" fillId="0" borderId="3" xfId="2" applyNumberFormat="1" applyFont="1" applyBorder="1"/>
    <xf numFmtId="44" fontId="0" fillId="0" borderId="3" xfId="0" applyNumberFormat="1" applyBorder="1"/>
    <xf numFmtId="44" fontId="0" fillId="0" borderId="10" xfId="0" applyNumberFormat="1" applyBorder="1"/>
    <xf numFmtId="14" fontId="0" fillId="2" borderId="3" xfId="0" applyNumberFormat="1" applyFill="1" applyBorder="1"/>
    <xf numFmtId="171" fontId="0" fillId="0" borderId="3" xfId="2" applyNumberFormat="1" applyFont="1" applyBorder="1"/>
    <xf numFmtId="182" fontId="0" fillId="0" borderId="0" xfId="0" applyNumberFormat="1"/>
    <xf numFmtId="4" fontId="23" fillId="4" borderId="3" xfId="0" applyNumberFormat="1" applyFont="1" applyFill="1" applyBorder="1"/>
    <xf numFmtId="0" fontId="6" fillId="0" borderId="0" xfId="0" applyFont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170" fontId="7" fillId="0" borderId="0" xfId="0" applyNumberFormat="1" applyFont="1" applyAlignment="1">
      <alignment horizontal="center"/>
    </xf>
    <xf numFmtId="170" fontId="7" fillId="0" borderId="7" xfId="0" applyNumberFormat="1" applyFont="1" applyBorder="1" applyAlignment="1">
      <alignment horizontal="center"/>
    </xf>
    <xf numFmtId="170" fontId="6" fillId="11" borderId="15" xfId="1" applyNumberFormat="1" applyFont="1" applyFill="1" applyBorder="1" applyAlignment="1"/>
    <xf numFmtId="170" fontId="7" fillId="0" borderId="14" xfId="0" applyNumberFormat="1" applyFont="1" applyBorder="1"/>
    <xf numFmtId="170" fontId="7" fillId="0" borderId="14" xfId="2" applyNumberFormat="1" applyFont="1" applyBorder="1"/>
    <xf numFmtId="170" fontId="6" fillId="0" borderId="14" xfId="0" applyNumberFormat="1" applyFont="1" applyBorder="1"/>
    <xf numFmtId="170" fontId="7" fillId="0" borderId="28" xfId="0" applyNumberFormat="1" applyFont="1" applyBorder="1"/>
    <xf numFmtId="170" fontId="6" fillId="0" borderId="15" xfId="0" applyNumberFormat="1" applyFont="1" applyBorder="1"/>
    <xf numFmtId="170" fontId="6" fillId="0" borderId="3" xfId="0" applyNumberFormat="1" applyFont="1" applyBorder="1"/>
    <xf numFmtId="170" fontId="6" fillId="0" borderId="3" xfId="2" applyNumberFormat="1" applyFont="1" applyBorder="1"/>
    <xf numFmtId="170" fontId="6" fillId="0" borderId="15" xfId="2" applyNumberFormat="1" applyFont="1" applyBorder="1"/>
    <xf numFmtId="170" fontId="6" fillId="3" borderId="15" xfId="2" applyNumberFormat="1" applyFont="1" applyFill="1" applyBorder="1"/>
    <xf numFmtId="170" fontId="7" fillId="0" borderId="29" xfId="0" applyNumberFormat="1" applyFont="1" applyBorder="1"/>
    <xf numFmtId="170" fontId="7" fillId="0" borderId="14" xfId="0" applyNumberFormat="1" applyFont="1" applyBorder="1" applyAlignment="1">
      <alignment horizontal="center"/>
    </xf>
    <xf numFmtId="170" fontId="7" fillId="0" borderId="12" xfId="0" applyNumberFormat="1" applyFont="1" applyBorder="1" applyAlignment="1">
      <alignment horizontal="center"/>
    </xf>
    <xf numFmtId="170" fontId="7" fillId="0" borderId="20" xfId="0" applyNumberFormat="1" applyFont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170" fontId="7" fillId="0" borderId="12" xfId="0" applyNumberFormat="1" applyFont="1" applyBorder="1"/>
    <xf numFmtId="44" fontId="6" fillId="8" borderId="14" xfId="2" applyFont="1" applyFill="1" applyBorder="1" applyAlignment="1">
      <alignment horizontal="center"/>
    </xf>
    <xf numFmtId="170" fontId="7" fillId="0" borderId="28" xfId="2" applyNumberFormat="1" applyFont="1" applyBorder="1"/>
    <xf numFmtId="170" fontId="7" fillId="0" borderId="12" xfId="2" applyNumberFormat="1" applyFont="1" applyBorder="1" applyAlignment="1">
      <alignment horizontal="center"/>
    </xf>
    <xf numFmtId="170" fontId="7" fillId="0" borderId="3" xfId="0" applyNumberFormat="1" applyFont="1" applyBorder="1"/>
    <xf numFmtId="170" fontId="6" fillId="0" borderId="21" xfId="0" applyNumberFormat="1" applyFont="1" applyBorder="1"/>
    <xf numFmtId="0" fontId="6" fillId="0" borderId="10" xfId="0" applyFont="1" applyBorder="1"/>
    <xf numFmtId="0" fontId="0" fillId="0" borderId="20" xfId="0" applyBorder="1"/>
    <xf numFmtId="0" fontId="6" fillId="0" borderId="20" xfId="0" applyFont="1" applyBorder="1"/>
    <xf numFmtId="170" fontId="7" fillId="0" borderId="11" xfId="0" applyNumberFormat="1" applyFont="1" applyBorder="1"/>
    <xf numFmtId="170" fontId="7" fillId="0" borderId="6" xfId="0" applyNumberFormat="1" applyFont="1" applyBorder="1"/>
    <xf numFmtId="170" fontId="7" fillId="0" borderId="0" xfId="0" applyNumberFormat="1" applyFont="1"/>
    <xf numFmtId="176" fontId="7" fillId="0" borderId="34" xfId="0" applyNumberFormat="1" applyFont="1" applyBorder="1" applyAlignment="1">
      <alignment wrapText="1"/>
    </xf>
    <xf numFmtId="0" fontId="6" fillId="8" borderId="4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6" fontId="6" fillId="0" borderId="18" xfId="0" applyNumberFormat="1" applyFont="1" applyBorder="1" applyAlignment="1">
      <alignment horizontal="center"/>
    </xf>
    <xf numFmtId="166" fontId="6" fillId="0" borderId="9" xfId="0" applyNumberFormat="1" applyFont="1" applyBorder="1" applyAlignment="1">
      <alignment horizontal="center"/>
    </xf>
    <xf numFmtId="170" fontId="23" fillId="0" borderId="3" xfId="1" applyNumberFormat="1" applyFont="1" applyBorder="1"/>
    <xf numFmtId="44" fontId="3" fillId="0" borderId="0" xfId="9" applyNumberFormat="1" applyFont="1"/>
    <xf numFmtId="2" fontId="2" fillId="0" borderId="0" xfId="9" applyNumberFormat="1" applyFont="1"/>
    <xf numFmtId="0" fontId="0" fillId="0" borderId="3" xfId="0" applyBorder="1"/>
    <xf numFmtId="4" fontId="0" fillId="0" borderId="3" xfId="0" applyNumberFormat="1" applyBorder="1"/>
    <xf numFmtId="0" fontId="0" fillId="11" borderId="3" xfId="0" applyFill="1" applyBorder="1"/>
    <xf numFmtId="0" fontId="7" fillId="10" borderId="4" xfId="0" applyFont="1" applyFill="1" applyBorder="1" applyAlignment="1">
      <alignment horizontal="center" vertical="top" wrapText="1"/>
    </xf>
    <xf numFmtId="0" fontId="7" fillId="10" borderId="5" xfId="0" applyFont="1" applyFill="1" applyBorder="1" applyAlignment="1">
      <alignment horizontal="center" vertical="top" wrapText="1"/>
    </xf>
    <xf numFmtId="0" fontId="7" fillId="10" borderId="10" xfId="0" applyFont="1" applyFill="1" applyBorder="1" applyAlignment="1">
      <alignment horizontal="center" vertical="top" wrapText="1"/>
    </xf>
    <xf numFmtId="43" fontId="23" fillId="11" borderId="3" xfId="1" applyFont="1" applyFill="1" applyBorder="1" applyAlignment="1">
      <alignment horizontal="center"/>
    </xf>
    <xf numFmtId="0" fontId="0" fillId="0" borderId="9" xfId="0" applyBorder="1"/>
    <xf numFmtId="0" fontId="0" fillId="0" borderId="29" xfId="0" applyBorder="1"/>
    <xf numFmtId="44" fontId="0" fillId="0" borderId="20" xfId="0" applyNumberFormat="1" applyBorder="1"/>
    <xf numFmtId="44" fontId="0" fillId="0" borderId="29" xfId="0" applyNumberFormat="1" applyBorder="1"/>
    <xf numFmtId="170" fontId="0" fillId="0" borderId="29" xfId="0" applyNumberFormat="1" applyBorder="1"/>
    <xf numFmtId="43" fontId="0" fillId="0" borderId="21" xfId="0" applyNumberFormat="1" applyBorder="1"/>
    <xf numFmtId="0" fontId="0" fillId="0" borderId="8" xfId="0" applyBorder="1"/>
    <xf numFmtId="170" fontId="20" fillId="0" borderId="3" xfId="0" applyNumberFormat="1" applyFont="1" applyBorder="1"/>
    <xf numFmtId="0" fontId="6" fillId="0" borderId="0" xfId="0" applyFont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2" fillId="5" borderId="0" xfId="0" applyFont="1" applyFill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6" fontId="6" fillId="0" borderId="18" xfId="0" applyNumberFormat="1" applyFont="1" applyBorder="1" applyAlignment="1">
      <alignment horizontal="center"/>
    </xf>
    <xf numFmtId="166" fontId="6" fillId="0" borderId="9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166" fontId="6" fillId="0" borderId="18" xfId="0" applyNumberFormat="1" applyFont="1" applyBorder="1" applyAlignment="1">
      <alignment horizontal="left"/>
    </xf>
    <xf numFmtId="166" fontId="6" fillId="0" borderId="21" xfId="0" applyNumberFormat="1" applyFont="1" applyBorder="1" applyAlignment="1">
      <alignment horizontal="left"/>
    </xf>
    <xf numFmtId="0" fontId="6" fillId="0" borderId="23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54" fillId="13" borderId="0" xfId="0" applyFont="1" applyFill="1" applyAlignment="1">
      <alignment horizontal="center" vertical="center"/>
    </xf>
    <xf numFmtId="14" fontId="20" fillId="2" borderId="4" xfId="0" applyNumberFormat="1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170" fontId="20" fillId="2" borderId="4" xfId="0" applyNumberFormat="1" applyFont="1" applyFill="1" applyBorder="1" applyAlignment="1">
      <alignment horizontal="center"/>
    </xf>
    <xf numFmtId="170" fontId="20" fillId="2" borderId="10" xfId="0" applyNumberFormat="1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10" fontId="17" fillId="0" borderId="3" xfId="0" applyNumberFormat="1" applyFont="1" applyBorder="1" applyAlignment="1">
      <alignment horizontal="center"/>
    </xf>
    <xf numFmtId="0" fontId="16" fillId="4" borderId="0" xfId="6" applyFont="1" applyFill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9" applyFont="1" applyAlignment="1">
      <alignment horizontal="center" vertical="top" wrapText="1"/>
    </xf>
    <xf numFmtId="44" fontId="0" fillId="8" borderId="45" xfId="11" applyFont="1" applyFill="1" applyBorder="1" applyAlignment="1">
      <alignment horizontal="center"/>
    </xf>
    <xf numFmtId="44" fontId="0" fillId="8" borderId="46" xfId="11" applyFont="1" applyFill="1" applyBorder="1" applyAlignment="1">
      <alignment horizontal="center"/>
    </xf>
    <xf numFmtId="44" fontId="0" fillId="8" borderId="47" xfId="11" applyFont="1" applyFill="1" applyBorder="1" applyAlignment="1">
      <alignment horizontal="center"/>
    </xf>
    <xf numFmtId="44" fontId="0" fillId="8" borderId="56" xfId="11" applyFont="1" applyFill="1" applyBorder="1" applyAlignment="1">
      <alignment horizontal="center"/>
    </xf>
    <xf numFmtId="0" fontId="44" fillId="9" borderId="37" xfId="9" applyFont="1" applyFill="1" applyBorder="1" applyAlignment="1">
      <alignment horizontal="center"/>
    </xf>
    <xf numFmtId="0" fontId="55" fillId="0" borderId="0" xfId="9" applyFont="1"/>
    <xf numFmtId="44" fontId="56" fillId="4" borderId="57" xfId="11" applyFont="1" applyFill="1" applyBorder="1"/>
    <xf numFmtId="44" fontId="20" fillId="4" borderId="57" xfId="11" applyFont="1" applyFill="1" applyBorder="1"/>
    <xf numFmtId="0" fontId="57" fillId="0" borderId="0" xfId="9" applyFont="1"/>
    <xf numFmtId="44" fontId="20" fillId="4" borderId="0" xfId="11" applyFont="1" applyFill="1"/>
    <xf numFmtId="0" fontId="56" fillId="0" borderId="0" xfId="0" applyFont="1"/>
    <xf numFmtId="44" fontId="56" fillId="4" borderId="0" xfId="11" applyFont="1" applyFill="1"/>
    <xf numFmtId="44" fontId="20" fillId="0" borderId="56" xfId="11" applyFont="1" applyBorder="1"/>
    <xf numFmtId="44" fontId="20" fillId="8" borderId="53" xfId="11" applyFont="1" applyFill="1" applyBorder="1"/>
    <xf numFmtId="44" fontId="20" fillId="0" borderId="55" xfId="11" applyFont="1" applyBorder="1"/>
    <xf numFmtId="44" fontId="56" fillId="0" borderId="0" xfId="11" applyFont="1"/>
    <xf numFmtId="0" fontId="55" fillId="0" borderId="52" xfId="9" applyFont="1" applyBorder="1"/>
    <xf numFmtId="44" fontId="58" fillId="8" borderId="58" xfId="11" applyFont="1" applyFill="1" applyBorder="1" applyAlignment="1">
      <alignment horizontal="center" vertical="center"/>
    </xf>
    <xf numFmtId="44" fontId="59" fillId="8" borderId="50" xfId="11" applyFont="1" applyFill="1" applyBorder="1" applyAlignment="1">
      <alignment horizontal="center" vertical="center"/>
    </xf>
    <xf numFmtId="44" fontId="59" fillId="8" borderId="48" xfId="11" applyFont="1" applyFill="1" applyBorder="1" applyAlignment="1">
      <alignment horizontal="center" vertical="center"/>
    </xf>
    <xf numFmtId="44" fontId="6" fillId="8" borderId="56" xfId="11" applyFont="1" applyFill="1" applyBorder="1" applyAlignment="1">
      <alignment horizontal="center" vertical="center" wrapText="1"/>
    </xf>
    <xf numFmtId="44" fontId="6" fillId="8" borderId="46" xfId="11" applyFont="1" applyFill="1" applyBorder="1" applyAlignment="1">
      <alignment horizontal="center" vertical="center" wrapText="1"/>
    </xf>
    <xf numFmtId="44" fontId="6" fillId="8" borderId="47" xfId="11" applyFont="1" applyFill="1" applyBorder="1" applyAlignment="1">
      <alignment horizontal="center" vertical="center" wrapText="1"/>
    </xf>
    <xf numFmtId="44" fontId="0" fillId="8" borderId="58" xfId="11" applyFont="1" applyFill="1" applyBorder="1"/>
    <xf numFmtId="0" fontId="58" fillId="8" borderId="57" xfId="0" applyFont="1" applyFill="1" applyBorder="1" applyAlignment="1">
      <alignment horizontal="center" vertical="center"/>
    </xf>
    <xf numFmtId="0" fontId="58" fillId="8" borderId="51" xfId="0" applyFont="1" applyFill="1" applyBorder="1" applyAlignment="1">
      <alignment horizontal="center" vertical="center"/>
    </xf>
    <xf numFmtId="44" fontId="0" fillId="8" borderId="47" xfId="11" applyFont="1" applyFill="1" applyBorder="1"/>
    <xf numFmtId="44" fontId="20" fillId="4" borderId="49" xfId="11" applyFont="1" applyFill="1" applyBorder="1"/>
    <xf numFmtId="0" fontId="0" fillId="0" borderId="52" xfId="0" applyBorder="1"/>
    <xf numFmtId="44" fontId="20" fillId="4" borderId="59" xfId="11" applyFont="1" applyFill="1" applyBorder="1"/>
    <xf numFmtId="44" fontId="60" fillId="8" borderId="45" xfId="11" applyFont="1" applyFill="1" applyBorder="1" applyAlignment="1">
      <alignment horizontal="center" vertical="center"/>
    </xf>
    <xf numFmtId="44" fontId="60" fillId="8" borderId="47" xfId="11" applyFont="1" applyFill="1" applyBorder="1" applyAlignment="1">
      <alignment horizontal="center" vertical="center"/>
    </xf>
    <xf numFmtId="0" fontId="0" fillId="0" borderId="0" xfId="0" applyBorder="1"/>
    <xf numFmtId="44" fontId="20" fillId="0" borderId="3" xfId="0" applyNumberFormat="1" applyFont="1" applyBorder="1" applyAlignment="1"/>
    <xf numFmtId="0" fontId="20" fillId="0" borderId="3" xfId="0" applyFont="1" applyBorder="1" applyAlignment="1"/>
    <xf numFmtId="44" fontId="20" fillId="8" borderId="52" xfId="11" applyFont="1" applyFill="1" applyBorder="1"/>
    <xf numFmtId="0" fontId="43" fillId="8" borderId="52" xfId="9" applyFont="1" applyFill="1" applyBorder="1"/>
    <xf numFmtId="176" fontId="43" fillId="8" borderId="52" xfId="9" applyNumberFormat="1" applyFont="1" applyFill="1" applyBorder="1"/>
    <xf numFmtId="176" fontId="1" fillId="8" borderId="52" xfId="9" applyNumberFormat="1" applyFont="1" applyFill="1" applyBorder="1"/>
    <xf numFmtId="0" fontId="6" fillId="15" borderId="9" xfId="0" applyFont="1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44" fontId="20" fillId="8" borderId="51" xfId="11" applyFont="1" applyFill="1" applyBorder="1"/>
    <xf numFmtId="176" fontId="43" fillId="8" borderId="51" xfId="9" applyNumberFormat="1" applyFont="1" applyFill="1" applyBorder="1"/>
    <xf numFmtId="44" fontId="20" fillId="8" borderId="54" xfId="11" applyFont="1" applyFill="1" applyBorder="1"/>
    <xf numFmtId="170" fontId="14" fillId="16" borderId="3" xfId="0" applyNumberFormat="1" applyFont="1" applyFill="1" applyBorder="1" applyAlignment="1">
      <alignment horizontal="center"/>
    </xf>
    <xf numFmtId="170" fontId="13" fillId="16" borderId="3" xfId="0" applyNumberFormat="1" applyFont="1" applyFill="1" applyBorder="1" applyAlignment="1">
      <alignment horizontal="center"/>
    </xf>
    <xf numFmtId="170" fontId="13" fillId="17" borderId="3" xfId="0" applyNumberFormat="1" applyFont="1" applyFill="1" applyBorder="1" applyAlignment="1">
      <alignment horizontal="center"/>
    </xf>
    <xf numFmtId="170" fontId="14" fillId="17" borderId="3" xfId="0" applyNumberFormat="1" applyFont="1" applyFill="1" applyBorder="1" applyAlignment="1">
      <alignment horizontal="center"/>
    </xf>
    <xf numFmtId="170" fontId="14" fillId="18" borderId="3" xfId="0" applyNumberFormat="1" applyFont="1" applyFill="1" applyBorder="1" applyAlignment="1">
      <alignment horizontal="center"/>
    </xf>
    <xf numFmtId="0" fontId="20" fillId="15" borderId="3" xfId="0" applyFont="1" applyFill="1" applyBorder="1" applyAlignment="1">
      <alignment horizontal="center"/>
    </xf>
    <xf numFmtId="0" fontId="13" fillId="15" borderId="3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left"/>
    </xf>
    <xf numFmtId="0" fontId="14" fillId="4" borderId="0" xfId="0" applyFont="1" applyFill="1" applyAlignment="1">
      <alignment horizontal="center"/>
    </xf>
    <xf numFmtId="0" fontId="13" fillId="4" borderId="3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left"/>
    </xf>
    <xf numFmtId="170" fontId="13" fillId="4" borderId="3" xfId="0" applyNumberFormat="1" applyFont="1" applyFill="1" applyBorder="1" applyAlignment="1">
      <alignment horizontal="center"/>
    </xf>
    <xf numFmtId="44" fontId="13" fillId="4" borderId="4" xfId="0" applyNumberFormat="1" applyFont="1" applyFill="1" applyBorder="1" applyAlignment="1">
      <alignment horizontal="left"/>
    </xf>
    <xf numFmtId="0" fontId="7" fillId="18" borderId="3" xfId="0" applyFont="1" applyFill="1" applyBorder="1"/>
    <xf numFmtId="0" fontId="6" fillId="15" borderId="3" xfId="0" applyFont="1" applyFill="1" applyBorder="1" applyAlignment="1">
      <alignment horizontal="center"/>
    </xf>
    <xf numFmtId="0" fontId="6" fillId="15" borderId="4" xfId="0" applyFont="1" applyFill="1" applyBorder="1" applyAlignment="1">
      <alignment horizontal="center"/>
    </xf>
    <xf numFmtId="0" fontId="6" fillId="15" borderId="5" xfId="0" applyFont="1" applyFill="1" applyBorder="1" applyAlignment="1">
      <alignment horizontal="center"/>
    </xf>
    <xf numFmtId="0" fontId="6" fillId="15" borderId="10" xfId="0" applyFont="1" applyFill="1" applyBorder="1" applyAlignment="1">
      <alignment horizontal="center"/>
    </xf>
    <xf numFmtId="0" fontId="6" fillId="15" borderId="4" xfId="0" applyFont="1" applyFill="1" applyBorder="1" applyAlignment="1">
      <alignment horizontal="left"/>
    </xf>
    <xf numFmtId="0" fontId="6" fillId="15" borderId="5" xfId="0" applyFont="1" applyFill="1" applyBorder="1" applyAlignment="1">
      <alignment horizontal="left"/>
    </xf>
    <xf numFmtId="0" fontId="6" fillId="15" borderId="10" xfId="0" applyFont="1" applyFill="1" applyBorder="1" applyAlignment="1">
      <alignment horizontal="left"/>
    </xf>
    <xf numFmtId="0" fontId="7" fillId="18" borderId="3" xfId="0" applyFont="1" applyFill="1" applyBorder="1" applyAlignment="1">
      <alignment horizontal="left"/>
    </xf>
    <xf numFmtId="176" fontId="7" fillId="18" borderId="3" xfId="0" applyNumberFormat="1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176" fontId="7" fillId="0" borderId="3" xfId="0" applyNumberFormat="1" applyFont="1" applyBorder="1" applyAlignment="1">
      <alignment horizontal="left"/>
    </xf>
    <xf numFmtId="176" fontId="7" fillId="14" borderId="3" xfId="0" applyNumberFormat="1" applyFont="1" applyFill="1" applyBorder="1" applyAlignment="1">
      <alignment horizontal="left"/>
    </xf>
    <xf numFmtId="1" fontId="6" fillId="18" borderId="3" xfId="0" applyNumberFormat="1" applyFont="1" applyFill="1" applyBorder="1" applyAlignment="1">
      <alignment horizontal="right"/>
    </xf>
    <xf numFmtId="0" fontId="7" fillId="0" borderId="3" xfId="0" applyFont="1" applyBorder="1" applyAlignment="1">
      <alignment horizontal="right"/>
    </xf>
    <xf numFmtId="1" fontId="7" fillId="0" borderId="3" xfId="0" applyNumberFormat="1" applyFont="1" applyBorder="1" applyAlignment="1">
      <alignment horizontal="right"/>
    </xf>
    <xf numFmtId="181" fontId="0" fillId="0" borderId="3" xfId="0" applyNumberFormat="1" applyBorder="1"/>
    <xf numFmtId="4" fontId="0" fillId="15" borderId="3" xfId="0" applyNumberFormat="1" applyFill="1" applyBorder="1"/>
    <xf numFmtId="44" fontId="7" fillId="4" borderId="4" xfId="7" applyFont="1" applyFill="1" applyBorder="1"/>
    <xf numFmtId="44" fontId="7" fillId="4" borderId="10" xfId="7" applyFont="1" applyFill="1" applyBorder="1"/>
    <xf numFmtId="44" fontId="7" fillId="4" borderId="14" xfId="7" applyFont="1" applyFill="1" applyBorder="1"/>
    <xf numFmtId="44" fontId="6" fillId="4" borderId="15" xfId="6" applyNumberFormat="1" applyFont="1" applyFill="1" applyBorder="1" applyAlignment="1">
      <alignment horizontal="center"/>
    </xf>
    <xf numFmtId="0" fontId="6" fillId="15" borderId="14" xfId="6" applyFont="1" applyFill="1" applyBorder="1" applyAlignment="1">
      <alignment horizontal="center" vertical="center"/>
    </xf>
    <xf numFmtId="0" fontId="6" fillId="15" borderId="14" xfId="6" applyFont="1" applyFill="1" applyBorder="1" applyAlignment="1">
      <alignment horizontal="center" vertical="center"/>
    </xf>
    <xf numFmtId="0" fontId="6" fillId="15" borderId="14" xfId="6" applyFont="1" applyFill="1" applyBorder="1" applyAlignment="1">
      <alignment horizontal="center" vertical="center" wrapText="1"/>
    </xf>
    <xf numFmtId="0" fontId="6" fillId="15" borderId="3" xfId="6" applyFont="1" applyFill="1" applyBorder="1" applyAlignment="1">
      <alignment horizontal="center"/>
    </xf>
    <xf numFmtId="0" fontId="6" fillId="15" borderId="15" xfId="6" applyFont="1" applyFill="1" applyBorder="1" applyAlignment="1">
      <alignment horizontal="center" vertical="center"/>
    </xf>
    <xf numFmtId="0" fontId="6" fillId="15" borderId="15" xfId="6" applyFont="1" applyFill="1" applyBorder="1" applyAlignment="1">
      <alignment horizontal="center" vertical="center"/>
    </xf>
    <xf numFmtId="0" fontId="6" fillId="15" borderId="15" xfId="6" applyFont="1" applyFill="1" applyBorder="1" applyAlignment="1">
      <alignment horizontal="center" vertical="center" wrapText="1"/>
    </xf>
    <xf numFmtId="0" fontId="22" fillId="15" borderId="23" xfId="0" applyFont="1" applyFill="1" applyBorder="1" applyAlignment="1">
      <alignment horizontal="center"/>
    </xf>
    <xf numFmtId="0" fontId="6" fillId="15" borderId="24" xfId="0" applyFont="1" applyFill="1" applyBorder="1" applyAlignment="1">
      <alignment horizontal="center"/>
    </xf>
    <xf numFmtId="0" fontId="19" fillId="15" borderId="11" xfId="0" applyFont="1" applyFill="1" applyBorder="1" applyAlignment="1">
      <alignment horizontal="center"/>
    </xf>
    <xf numFmtId="0" fontId="19" fillId="15" borderId="19" xfId="0" applyFont="1" applyFill="1" applyBorder="1" applyAlignment="1">
      <alignment horizontal="center"/>
    </xf>
    <xf numFmtId="0" fontId="22" fillId="15" borderId="3" xfId="0" applyFont="1" applyFill="1" applyBorder="1" applyAlignment="1">
      <alignment horizontal="center"/>
    </xf>
    <xf numFmtId="3" fontId="6" fillId="15" borderId="4" xfId="0" applyNumberFormat="1" applyFont="1" applyFill="1" applyBorder="1"/>
    <xf numFmtId="0" fontId="22" fillId="18" borderId="3" xfId="0" applyFont="1" applyFill="1" applyBorder="1" applyAlignment="1">
      <alignment horizontal="center"/>
    </xf>
    <xf numFmtId="4" fontId="6" fillId="18" borderId="15" xfId="0" applyNumberFormat="1" applyFont="1" applyFill="1" applyBorder="1"/>
    <xf numFmtId="4" fontId="24" fillId="18" borderId="14" xfId="0" applyNumberFormat="1" applyFont="1" applyFill="1" applyBorder="1"/>
    <xf numFmtId="170" fontId="7" fillId="18" borderId="15" xfId="0" applyNumberFormat="1" applyFont="1" applyFill="1" applyBorder="1"/>
    <xf numFmtId="0" fontId="22" fillId="17" borderId="3" xfId="0" applyFont="1" applyFill="1" applyBorder="1" applyAlignment="1">
      <alignment horizontal="center"/>
    </xf>
    <xf numFmtId="4" fontId="6" fillId="17" borderId="15" xfId="0" applyNumberFormat="1" applyFont="1" applyFill="1" applyBorder="1"/>
    <xf numFmtId="170" fontId="7" fillId="17" borderId="15" xfId="0" applyNumberFormat="1" applyFont="1" applyFill="1" applyBorder="1"/>
    <xf numFmtId="4" fontId="24" fillId="17" borderId="14" xfId="0" applyNumberFormat="1" applyFont="1" applyFill="1" applyBorder="1"/>
    <xf numFmtId="0" fontId="22" fillId="19" borderId="3" xfId="0" applyFont="1" applyFill="1" applyBorder="1" applyAlignment="1">
      <alignment horizontal="center"/>
    </xf>
    <xf numFmtId="4" fontId="6" fillId="19" borderId="15" xfId="0" applyNumberFormat="1" applyFont="1" applyFill="1" applyBorder="1"/>
    <xf numFmtId="170" fontId="7" fillId="19" borderId="15" xfId="0" applyNumberFormat="1" applyFont="1" applyFill="1" applyBorder="1"/>
    <xf numFmtId="4" fontId="24" fillId="19" borderId="14" xfId="0" applyNumberFormat="1" applyFont="1" applyFill="1" applyBorder="1"/>
    <xf numFmtId="0" fontId="22" fillId="20" borderId="3" xfId="0" applyFont="1" applyFill="1" applyBorder="1" applyAlignment="1">
      <alignment horizontal="center"/>
    </xf>
    <xf numFmtId="4" fontId="6" fillId="20" borderId="15" xfId="0" applyNumberFormat="1" applyFont="1" applyFill="1" applyBorder="1"/>
    <xf numFmtId="4" fontId="24" fillId="20" borderId="14" xfId="0" applyNumberFormat="1" applyFont="1" applyFill="1" applyBorder="1"/>
    <xf numFmtId="170" fontId="7" fillId="20" borderId="15" xfId="0" applyNumberFormat="1" applyFont="1" applyFill="1" applyBorder="1"/>
    <xf numFmtId="0" fontId="22" fillId="21" borderId="3" xfId="0" applyFont="1" applyFill="1" applyBorder="1" applyAlignment="1">
      <alignment horizontal="center"/>
    </xf>
    <xf numFmtId="4" fontId="6" fillId="21" borderId="15" xfId="0" applyNumberFormat="1" applyFont="1" applyFill="1" applyBorder="1"/>
    <xf numFmtId="4" fontId="24" fillId="21" borderId="14" xfId="0" applyNumberFormat="1" applyFont="1" applyFill="1" applyBorder="1"/>
    <xf numFmtId="170" fontId="7" fillId="21" borderId="15" xfId="0" applyNumberFormat="1" applyFont="1" applyFill="1" applyBorder="1"/>
    <xf numFmtId="0" fontId="6" fillId="15" borderId="0" xfId="0" applyFont="1" applyFill="1" applyAlignment="1">
      <alignment horizontal="center"/>
    </xf>
    <xf numFmtId="2" fontId="20" fillId="15" borderId="3" xfId="0" applyNumberFormat="1" applyFont="1" applyFill="1" applyBorder="1" applyAlignment="1">
      <alignment horizontal="center" wrapText="1"/>
    </xf>
    <xf numFmtId="2" fontId="20" fillId="15" borderId="14" xfId="0" applyNumberFormat="1" applyFont="1" applyFill="1" applyBorder="1" applyAlignment="1">
      <alignment horizontal="center" wrapText="1"/>
    </xf>
    <xf numFmtId="0" fontId="20" fillId="15" borderId="3" xfId="0" applyFont="1" applyFill="1" applyBorder="1" applyAlignment="1">
      <alignment horizontal="center" wrapText="1"/>
    </xf>
    <xf numFmtId="14" fontId="20" fillId="15" borderId="3" xfId="0" applyNumberFormat="1" applyFont="1" applyFill="1" applyBorder="1"/>
    <xf numFmtId="14" fontId="20" fillId="15" borderId="10" xfId="0" applyNumberFormat="1" applyFont="1" applyFill="1" applyBorder="1"/>
    <xf numFmtId="0" fontId="20" fillId="15" borderId="3" xfId="0" applyFont="1" applyFill="1" applyBorder="1" applyAlignment="1">
      <alignment horizontal="center"/>
    </xf>
    <xf numFmtId="0" fontId="22" fillId="15" borderId="11" xfId="0" applyFont="1" applyFill="1" applyBorder="1"/>
    <xf numFmtId="0" fontId="22" fillId="15" borderId="11" xfId="0" applyFont="1" applyFill="1" applyBorder="1" applyAlignment="1">
      <alignment horizontal="center"/>
    </xf>
    <xf numFmtId="0" fontId="22" fillId="15" borderId="19" xfId="0" applyFont="1" applyFill="1" applyBorder="1" applyAlignment="1">
      <alignment horizontal="center"/>
    </xf>
    <xf numFmtId="0" fontId="19" fillId="17" borderId="11" xfId="0" applyFont="1" applyFill="1" applyBorder="1" applyAlignment="1">
      <alignment horizontal="center"/>
    </xf>
    <xf numFmtId="0" fontId="19" fillId="17" borderId="19" xfId="0" applyFont="1" applyFill="1" applyBorder="1" applyAlignment="1">
      <alignment horizontal="center"/>
    </xf>
    <xf numFmtId="0" fontId="19" fillId="19" borderId="11" xfId="0" applyFont="1" applyFill="1" applyBorder="1" applyAlignment="1">
      <alignment horizontal="center"/>
    </xf>
    <xf numFmtId="0" fontId="19" fillId="19" borderId="19" xfId="0" applyFont="1" applyFill="1" applyBorder="1" applyAlignment="1">
      <alignment horizontal="center"/>
    </xf>
    <xf numFmtId="0" fontId="19" fillId="20" borderId="11" xfId="0" applyFont="1" applyFill="1" applyBorder="1" applyAlignment="1">
      <alignment horizontal="center"/>
    </xf>
    <xf numFmtId="0" fontId="19" fillId="20" borderId="19" xfId="0" applyFont="1" applyFill="1" applyBorder="1" applyAlignment="1">
      <alignment horizontal="center"/>
    </xf>
    <xf numFmtId="0" fontId="19" fillId="18" borderId="3" xfId="0" applyFont="1" applyFill="1" applyBorder="1" applyAlignment="1">
      <alignment horizontal="center"/>
    </xf>
    <xf numFmtId="0" fontId="19" fillId="18" borderId="22" xfId="0" applyFont="1" applyFill="1" applyBorder="1" applyAlignment="1">
      <alignment horizontal="center"/>
    </xf>
    <xf numFmtId="0" fontId="6" fillId="15" borderId="12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/>
    </xf>
    <xf numFmtId="0" fontId="6" fillId="18" borderId="2" xfId="0" applyFont="1" applyFill="1" applyBorder="1" applyAlignment="1">
      <alignment horizontal="center"/>
    </xf>
    <xf numFmtId="0" fontId="6" fillId="18" borderId="26" xfId="0" applyFont="1" applyFill="1" applyBorder="1" applyAlignment="1">
      <alignment horizontal="center"/>
    </xf>
    <xf numFmtId="0" fontId="6" fillId="17" borderId="4" xfId="0" applyFont="1" applyFill="1" applyBorder="1" applyAlignment="1">
      <alignment horizontal="center"/>
    </xf>
    <xf numFmtId="0" fontId="6" fillId="17" borderId="5" xfId="0" applyFont="1" applyFill="1" applyBorder="1" applyAlignment="1">
      <alignment horizontal="center"/>
    </xf>
    <xf numFmtId="0" fontId="6" fillId="17" borderId="10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6" fillId="15" borderId="2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5" borderId="23" xfId="0" applyFont="1" applyFill="1" applyBorder="1" applyAlignment="1">
      <alignment horizontal="center"/>
    </xf>
    <xf numFmtId="0" fontId="20" fillId="15" borderId="23" xfId="0" applyFont="1" applyFill="1" applyBorder="1" applyAlignment="1">
      <alignment horizontal="center"/>
    </xf>
    <xf numFmtId="0" fontId="20" fillId="15" borderId="27" xfId="0" applyFont="1" applyFill="1" applyBorder="1" applyAlignment="1">
      <alignment horizontal="center"/>
    </xf>
    <xf numFmtId="0" fontId="6" fillId="17" borderId="23" xfId="0" applyFont="1" applyFill="1" applyBorder="1" applyAlignment="1">
      <alignment horizontal="center"/>
    </xf>
    <xf numFmtId="0" fontId="20" fillId="17" borderId="23" xfId="0" applyFont="1" applyFill="1" applyBorder="1" applyAlignment="1">
      <alignment horizontal="center"/>
    </xf>
    <xf numFmtId="0" fontId="20" fillId="17" borderId="27" xfId="0" applyFont="1" applyFill="1" applyBorder="1" applyAlignment="1">
      <alignment horizontal="center"/>
    </xf>
    <xf numFmtId="0" fontId="6" fillId="18" borderId="23" xfId="0" applyFont="1" applyFill="1" applyBorder="1" applyAlignment="1">
      <alignment horizontal="center"/>
    </xf>
    <xf numFmtId="0" fontId="20" fillId="18" borderId="23" xfId="0" applyFont="1" applyFill="1" applyBorder="1" applyAlignment="1">
      <alignment horizontal="center"/>
    </xf>
    <xf numFmtId="0" fontId="20" fillId="18" borderId="27" xfId="0" applyFont="1" applyFill="1" applyBorder="1" applyAlignment="1">
      <alignment horizontal="center"/>
    </xf>
    <xf numFmtId="0" fontId="6" fillId="19" borderId="4" xfId="0" applyFont="1" applyFill="1" applyBorder="1" applyAlignment="1">
      <alignment horizontal="center" vertical="top" wrapText="1"/>
    </xf>
    <xf numFmtId="0" fontId="6" fillId="19" borderId="5" xfId="0" applyFont="1" applyFill="1" applyBorder="1" applyAlignment="1">
      <alignment horizontal="center" vertical="top" wrapText="1"/>
    </xf>
    <xf numFmtId="0" fontId="6" fillId="19" borderId="10" xfId="0" applyFont="1" applyFill="1" applyBorder="1" applyAlignment="1">
      <alignment horizontal="center" vertical="top" wrapText="1"/>
    </xf>
    <xf numFmtId="0" fontId="6" fillId="19" borderId="23" xfId="0" applyFont="1" applyFill="1" applyBorder="1" applyAlignment="1">
      <alignment horizontal="center"/>
    </xf>
    <xf numFmtId="0" fontId="20" fillId="19" borderId="23" xfId="0" applyFont="1" applyFill="1" applyBorder="1" applyAlignment="1">
      <alignment horizontal="center"/>
    </xf>
    <xf numFmtId="0" fontId="20" fillId="19" borderId="27" xfId="0" applyFont="1" applyFill="1" applyBorder="1" applyAlignment="1">
      <alignment horizontal="center"/>
    </xf>
    <xf numFmtId="0" fontId="6" fillId="15" borderId="11" xfId="0" applyFont="1" applyFill="1" applyBorder="1" applyAlignment="1">
      <alignment horizontal="center"/>
    </xf>
    <xf numFmtId="0" fontId="6" fillId="15" borderId="19" xfId="0" applyFont="1" applyFill="1" applyBorder="1" applyAlignment="1">
      <alignment horizontal="center"/>
    </xf>
    <xf numFmtId="0" fontId="6" fillId="18" borderId="11" xfId="0" applyFont="1" applyFill="1" applyBorder="1" applyAlignment="1">
      <alignment horizontal="center"/>
    </xf>
    <xf numFmtId="0" fontId="6" fillId="18" borderId="19" xfId="0" applyFont="1" applyFill="1" applyBorder="1" applyAlignment="1">
      <alignment horizontal="center"/>
    </xf>
    <xf numFmtId="0" fontId="6" fillId="17" borderId="11" xfId="0" applyFont="1" applyFill="1" applyBorder="1" applyAlignment="1">
      <alignment horizontal="center"/>
    </xf>
    <xf numFmtId="0" fontId="6" fillId="17" borderId="19" xfId="0" applyFont="1" applyFill="1" applyBorder="1" applyAlignment="1">
      <alignment horizontal="center"/>
    </xf>
    <xf numFmtId="0" fontId="6" fillId="20" borderId="11" xfId="0" applyFont="1" applyFill="1" applyBorder="1" applyAlignment="1">
      <alignment horizontal="center"/>
    </xf>
    <xf numFmtId="0" fontId="6" fillId="20" borderId="19" xfId="0" applyFont="1" applyFill="1" applyBorder="1" applyAlignment="1">
      <alignment horizontal="center"/>
    </xf>
    <xf numFmtId="0" fontId="6" fillId="21" borderId="11" xfId="0" applyFont="1" applyFill="1" applyBorder="1" applyAlignment="1">
      <alignment horizontal="center"/>
    </xf>
    <xf numFmtId="0" fontId="6" fillId="21" borderId="19" xfId="0" applyFont="1" applyFill="1" applyBorder="1" applyAlignment="1">
      <alignment horizontal="center"/>
    </xf>
    <xf numFmtId="0" fontId="6" fillId="15" borderId="14" xfId="0" applyFont="1" applyFill="1" applyBorder="1"/>
    <xf numFmtId="0" fontId="6" fillId="15" borderId="12" xfId="0" applyFont="1" applyFill="1" applyBorder="1" applyAlignment="1">
      <alignment horizontal="center"/>
    </xf>
    <xf numFmtId="0" fontId="6" fillId="15" borderId="14" xfId="0" applyFont="1" applyFill="1" applyBorder="1" applyAlignment="1">
      <alignment horizontal="center"/>
    </xf>
    <xf numFmtId="0" fontId="6" fillId="15" borderId="8" xfId="0" applyFont="1" applyFill="1" applyBorder="1" applyAlignment="1">
      <alignment horizontal="center"/>
    </xf>
    <xf numFmtId="0" fontId="6" fillId="15" borderId="18" xfId="0" applyFont="1" applyFill="1" applyBorder="1"/>
    <xf numFmtId="0" fontId="6" fillId="15" borderId="18" xfId="0" applyFont="1" applyFill="1" applyBorder="1" applyAlignment="1">
      <alignment horizontal="center"/>
    </xf>
    <xf numFmtId="0" fontId="6" fillId="15" borderId="15" xfId="0" applyFont="1" applyFill="1" applyBorder="1" applyAlignment="1">
      <alignment horizontal="center"/>
    </xf>
    <xf numFmtId="0" fontId="6" fillId="15" borderId="9" xfId="0" applyFont="1" applyFill="1" applyBorder="1" applyAlignment="1">
      <alignment horizontal="center"/>
    </xf>
    <xf numFmtId="0" fontId="6" fillId="17" borderId="4" xfId="0" applyFont="1" applyFill="1" applyBorder="1"/>
    <xf numFmtId="0" fontId="6" fillId="17" borderId="12" xfId="0" applyFont="1" applyFill="1" applyBorder="1"/>
    <xf numFmtId="0" fontId="6" fillId="17" borderId="4" xfId="0" applyFont="1" applyFill="1" applyBorder="1" applyAlignment="1">
      <alignment horizontal="left"/>
    </xf>
    <xf numFmtId="0" fontId="6" fillId="17" borderId="10" xfId="0" applyFont="1" applyFill="1" applyBorder="1" applyAlignment="1">
      <alignment horizontal="left"/>
    </xf>
    <xf numFmtId="0" fontId="7" fillId="17" borderId="3" xfId="0" applyFont="1" applyFill="1" applyBorder="1"/>
    <xf numFmtId="0" fontId="6" fillId="17" borderId="3" xfId="0" applyFont="1" applyFill="1" applyBorder="1"/>
    <xf numFmtId="44" fontId="7" fillId="17" borderId="3" xfId="2" applyFont="1" applyFill="1" applyBorder="1" applyAlignment="1">
      <alignment horizontal="center"/>
    </xf>
  </cellXfs>
  <cellStyles count="12">
    <cellStyle name="Euro" xfId="4" xr:uid="{DD9A65AC-D7A2-4CCF-8472-89BAC221A583}"/>
    <cellStyle name="Millares" xfId="1" builtinId="3"/>
    <cellStyle name="Millares_Hoja1" xfId="5" xr:uid="{964A12DA-17A7-4BA4-BF38-A47BBC6BEB1D}"/>
    <cellStyle name="Moneda" xfId="2" builtinId="4"/>
    <cellStyle name="Moneda 2" xfId="11" xr:uid="{0EF6FE59-49F1-48C7-B0AC-BA477BFE6848}"/>
    <cellStyle name="Moneda 3" xfId="7" xr:uid="{CBE1AE4E-4743-4B16-ACFE-14A600ED4C0B}"/>
    <cellStyle name="Normal" xfId="0" builtinId="0"/>
    <cellStyle name="Normal 2" xfId="9" xr:uid="{CCB927C8-D078-4A5D-A43F-48EA46B80B2C}"/>
    <cellStyle name="Normal 4" xfId="6" xr:uid="{1A75CCF8-8E80-464B-BF7E-14F8B17DB693}"/>
    <cellStyle name="Porcentaje" xfId="3" builtinId="5"/>
    <cellStyle name="Porcentaje 2" xfId="8" xr:uid="{821A6BC1-80F4-407A-B37C-4AE01FCC424D}"/>
    <cellStyle name="Porcentaje 3" xfId="10" xr:uid="{24278982-3BF9-466E-B3D8-2C634F883A82}"/>
  </cellStyles>
  <dxfs count="0"/>
  <tableStyles count="0" defaultTableStyle="TableStyleMedium9" defaultPivotStyle="PivotStyleLight16"/>
  <colors>
    <mruColors>
      <color rgb="FFFBC99D"/>
      <color rgb="FFFBA09D"/>
      <color rgb="FFB6E2DD"/>
      <color rgb="FFC8DDBB"/>
      <color rgb="FFE9E5AF"/>
      <color rgb="FFFBDF9D"/>
      <color rgb="FFFBB39D"/>
      <color rgb="FF97A7B3"/>
      <color rgb="FFF1C0E8"/>
      <color rgb="FFFDE4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PUNTO DE EQUILIBRIO</a:t>
            </a:r>
          </a:p>
        </c:rich>
      </c:tx>
      <c:layout>
        <c:manualLayout>
          <c:xMode val="edge"/>
          <c:yMode val="edge"/>
          <c:x val="0.30865191233811823"/>
          <c:y val="3.58434227979567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836357685642684"/>
          <c:y val="0.23656731666614891"/>
          <c:w val="0.49178548185300702"/>
          <c:h val="0.51614687272614312"/>
        </c:manualLayout>
      </c:layout>
      <c:lineChart>
        <c:grouping val="standard"/>
        <c:varyColors val="0"/>
        <c:ser>
          <c:idx val="1"/>
          <c:order val="0"/>
          <c:tx>
            <c:v>Punto de equilibrio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'PROYECCIONES EGRESOS E INGRESOS'!$B$17:$E$17</c:f>
              <c:numCache>
                <c:formatCode>"$"#,##0.00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8-4DAA-A1A3-0E8194307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218816"/>
        <c:axId val="1"/>
      </c:lineChart>
      <c:catAx>
        <c:axId val="165421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AÑOS DE INVERSION</a:t>
                </a:r>
              </a:p>
            </c:rich>
          </c:tx>
          <c:layout>
            <c:manualLayout>
              <c:xMode val="edge"/>
              <c:yMode val="edge"/>
              <c:x val="0.40330514241275395"/>
              <c:y val="0.863829010620984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INGRESOS</a:t>
                </a:r>
              </a:p>
            </c:rich>
          </c:tx>
          <c:layout>
            <c:manualLayout>
              <c:xMode val="edge"/>
              <c:yMode val="edge"/>
              <c:x val="3.2922890811488074E-2"/>
              <c:y val="0.36560419194912464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.00" sourceLinked="1"/>
        <c:majorTickMark val="cross"/>
        <c:minorTickMark val="none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654218816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78355637644051"/>
          <c:y val="0.45521293709254085"/>
          <c:w val="0.17400000000000004"/>
          <c:h val="7.7749999999999986E-2"/>
        </c:manualLayout>
      </c:layout>
      <c:overlay val="0"/>
      <c:spPr>
        <a:solidFill>
          <a:srgbClr val="FFFFFF">
            <a:alpha val="100000"/>
          </a:srgbClr>
        </a:solidFill>
        <a:ln w="3175">
          <a:solidFill>
            <a:srgbClr val="000000">
              <a:alpha val="100000"/>
            </a:srgbClr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PUNTO DE EQUILIBRIO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'PROYECCIONES EGRESOS E INGRESOS'!$T$37</c:f>
              <c:strCache>
                <c:ptCount val="1"/>
                <c:pt idx="0">
                  <c:v>CANTIDAD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'PROYECCIONES EGRESOS E INGRESOS'!$T$38:$T$45</c:f>
              <c:numCache>
                <c:formatCode>_-* #,##0_-;\-* #,##0_-;_-* "-"??_-;_-@_-</c:formatCode>
                <c:ptCount val="8"/>
                <c:pt idx="0">
                  <c:v>6879.2539675206281</c:v>
                </c:pt>
                <c:pt idx="1">
                  <c:v>11162.253967520628</c:v>
                </c:pt>
                <c:pt idx="2">
                  <c:v>15445.253967520628</c:v>
                </c:pt>
                <c:pt idx="3">
                  <c:v>19728.253967520628</c:v>
                </c:pt>
                <c:pt idx="4">
                  <c:v>24011.253967520628</c:v>
                </c:pt>
                <c:pt idx="5">
                  <c:v>28294.253967520628</c:v>
                </c:pt>
                <c:pt idx="6">
                  <c:v>32577.253967520628</c:v>
                </c:pt>
                <c:pt idx="7">
                  <c:v>36860.253967520628</c:v>
                </c:pt>
              </c:numCache>
            </c:numRef>
          </c:cat>
          <c:val>
            <c:numRef>
              <c:f>'PROYECCIONES EGRESOS E INGRESOS'!$T$38:$T$45</c:f>
              <c:numCache>
                <c:formatCode>_-* #,##0_-;\-* #,##0_-;_-* "-"??_-;_-@_-</c:formatCode>
                <c:ptCount val="8"/>
                <c:pt idx="0">
                  <c:v>6879.2539675206281</c:v>
                </c:pt>
                <c:pt idx="1">
                  <c:v>11162.253967520628</c:v>
                </c:pt>
                <c:pt idx="2">
                  <c:v>15445.253967520628</c:v>
                </c:pt>
                <c:pt idx="3">
                  <c:v>19728.253967520628</c:v>
                </c:pt>
                <c:pt idx="4">
                  <c:v>24011.253967520628</c:v>
                </c:pt>
                <c:pt idx="5">
                  <c:v>28294.253967520628</c:v>
                </c:pt>
                <c:pt idx="6">
                  <c:v>32577.253967520628</c:v>
                </c:pt>
                <c:pt idx="7">
                  <c:v>36860.253967520628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7-4F18-B4C2-F0A1216B37FD}"/>
            </c:ext>
          </c:extLst>
        </c:ser>
        <c:ser>
          <c:idx val="1"/>
          <c:order val="1"/>
          <c:tx>
            <c:strRef>
              <c:f>'PROYECCIONES EGRESOS E INGRESOS'!$U$37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'PROYECCIONES EGRESOS E INGRESOS'!$T$38:$T$45</c:f>
              <c:numCache>
                <c:formatCode>_-* #,##0_-;\-* #,##0_-;_-* "-"??_-;_-@_-</c:formatCode>
                <c:ptCount val="8"/>
                <c:pt idx="0">
                  <c:v>6879.2539675206281</c:v>
                </c:pt>
                <c:pt idx="1">
                  <c:v>11162.253967520628</c:v>
                </c:pt>
                <c:pt idx="2">
                  <c:v>15445.253967520628</c:v>
                </c:pt>
                <c:pt idx="3">
                  <c:v>19728.253967520628</c:v>
                </c:pt>
                <c:pt idx="4">
                  <c:v>24011.253967520628</c:v>
                </c:pt>
                <c:pt idx="5">
                  <c:v>28294.253967520628</c:v>
                </c:pt>
                <c:pt idx="6">
                  <c:v>32577.253967520628</c:v>
                </c:pt>
                <c:pt idx="7">
                  <c:v>36860.253967520628</c:v>
                </c:pt>
              </c:numCache>
            </c:numRef>
          </c:cat>
          <c:val>
            <c:numRef>
              <c:f>'PROYECCIONES EGRESOS E INGRESOS'!$U$38:$U$45</c:f>
              <c:numCache>
                <c:formatCode>_(* #,##0.00_);_(* \(#,##0.00\);_(* "-"??_);_(@_)</c:formatCode>
                <c:ptCount val="8"/>
                <c:pt idx="0">
                  <c:v>670727.26183326123</c:v>
                </c:pt>
                <c:pt idx="1">
                  <c:v>1088319.7618332612</c:v>
                </c:pt>
                <c:pt idx="2">
                  <c:v>1505912.2618332612</c:v>
                </c:pt>
                <c:pt idx="3">
                  <c:v>1923504.7618332612</c:v>
                </c:pt>
                <c:pt idx="4">
                  <c:v>2341097.2618332612</c:v>
                </c:pt>
                <c:pt idx="5">
                  <c:v>2758689.7618332612</c:v>
                </c:pt>
                <c:pt idx="6">
                  <c:v>3176282.2618332612</c:v>
                </c:pt>
                <c:pt idx="7">
                  <c:v>3593874.7618332612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7-4F18-B4C2-F0A1216B37FD}"/>
            </c:ext>
          </c:extLst>
        </c:ser>
        <c:ser>
          <c:idx val="2"/>
          <c:order val="2"/>
          <c:tx>
            <c:strRef>
              <c:f>'PROYECCIONES EGRESOS E INGRESOS'!$V$37</c:f>
              <c:strCache>
                <c:ptCount val="1"/>
                <c:pt idx="0">
                  <c:v>COSTOS TOTALES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'PROYECCIONES EGRESOS E INGRESOS'!$T$38:$T$45</c:f>
              <c:numCache>
                <c:formatCode>_-* #,##0_-;\-* #,##0_-;_-* "-"??_-;_-@_-</c:formatCode>
                <c:ptCount val="8"/>
                <c:pt idx="0">
                  <c:v>6879.2539675206281</c:v>
                </c:pt>
                <c:pt idx="1">
                  <c:v>11162.253967520628</c:v>
                </c:pt>
                <c:pt idx="2">
                  <c:v>15445.253967520628</c:v>
                </c:pt>
                <c:pt idx="3">
                  <c:v>19728.253967520628</c:v>
                </c:pt>
                <c:pt idx="4">
                  <c:v>24011.253967520628</c:v>
                </c:pt>
                <c:pt idx="5">
                  <c:v>28294.253967520628</c:v>
                </c:pt>
                <c:pt idx="6">
                  <c:v>32577.253967520628</c:v>
                </c:pt>
                <c:pt idx="7">
                  <c:v>36860.253967520628</c:v>
                </c:pt>
              </c:numCache>
            </c:numRef>
          </c:cat>
          <c:val>
            <c:numRef>
              <c:f>'PROYECCIONES EGRESOS E INGRESOS'!$V$38:$V$45</c:f>
              <c:numCache>
                <c:formatCode>_(* #,##0.00_);_(* \(#,##0.00\);_(* "-"??_);_(@_)</c:formatCode>
                <c:ptCount val="8"/>
                <c:pt idx="0">
                  <c:v>881764.38656831509</c:v>
                </c:pt>
                <c:pt idx="1">
                  <c:v>1088319.7618332612</c:v>
                </c:pt>
                <c:pt idx="2">
                  <c:v>1294875.1370982076</c:v>
                </c:pt>
                <c:pt idx="3">
                  <c:v>1501430.5123631535</c:v>
                </c:pt>
                <c:pt idx="4">
                  <c:v>1707985.8876280999</c:v>
                </c:pt>
                <c:pt idx="5">
                  <c:v>1914541.262893046</c:v>
                </c:pt>
                <c:pt idx="6">
                  <c:v>2121096.6381579922</c:v>
                </c:pt>
                <c:pt idx="7">
                  <c:v>2327652.0134229385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7-4F18-B4C2-F0A1216B3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123103"/>
        <c:axId val="1241131007"/>
      </c:lineChart>
      <c:catAx>
        <c:axId val="1241123103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1131007"/>
        <c:crosses val="autoZero"/>
        <c:auto val="1"/>
        <c:lblAlgn val="ctr"/>
        <c:lblOffset val="100"/>
        <c:noMultiLvlLbl val="0"/>
      </c:catAx>
      <c:valAx>
        <c:axId val="124113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112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2257424</xdr:colOff>
      <xdr:row>26</xdr:row>
      <xdr:rowOff>38100</xdr:rowOff>
    </xdr:from>
    <xdr:to>
      <xdr:col>5</xdr:col>
      <xdr:colOff>142874</xdr:colOff>
      <xdr:row>40</xdr:row>
      <xdr:rowOff>168275</xdr:rowOff>
    </xdr:to>
    <xdr:graphicFrame macro="">
      <xdr:nvGraphicFramePr>
        <xdr:cNvPr id="3074" name="Gráfico 1">
          <a:extLst>
            <a:ext uri="{FF2B5EF4-FFF2-40B4-BE49-F238E27FC236}">
              <a16:creationId xmlns:a16="http://schemas.microsoft.com/office/drawing/2014/main" id="{3D2D224A-80EA-EB44-6946-870AA188A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624416</xdr:colOff>
      <xdr:row>30</xdr:row>
      <xdr:rowOff>21166</xdr:rowOff>
    </xdr:from>
    <xdr:to>
      <xdr:col>23</xdr:col>
      <xdr:colOff>582375</xdr:colOff>
      <xdr:row>33</xdr:row>
      <xdr:rowOff>154615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F2DE16B-2A46-4DBB-A589-424BE041E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96083" y="6201833"/>
          <a:ext cx="2095792" cy="704948"/>
        </a:xfrm>
        <a:prstGeom prst="rect">
          <a:avLst/>
        </a:prstGeom>
      </xdr:spPr>
    </xdr:pic>
    <xdr:clientData/>
  </xdr:twoCellAnchor>
  <xdr:twoCellAnchor>
    <xdr:from>
      <xdr:col>6</xdr:col>
      <xdr:colOff>1269932</xdr:colOff>
      <xdr:row>3</xdr:row>
      <xdr:rowOff>25065</xdr:rowOff>
    </xdr:from>
    <xdr:to>
      <xdr:col>16</xdr:col>
      <xdr:colOff>401053</xdr:colOff>
      <xdr:row>27</xdr:row>
      <xdr:rowOff>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833F9B21-6833-4AE2-924C-12926D63B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BRAS%20PUBLICAS%202002/EXPEDIENTES-RAMO%2033/ASIGNADAS/ATACPAN%20INDEPENDENCIA%20CONST.%20DE%20SIST.%20DE%20AGUA%20POT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VERSO"/>
      <sheetName val="Hoja2"/>
      <sheetName val="1 de 8"/>
      <sheetName val="caja rompedora "/>
      <sheetName val="GEN CAJA ROMPE"/>
      <sheetName val="PRES 1"/>
      <sheetName val="no"/>
      <sheetName val="SUB EST. ELECTRICA"/>
      <sheetName val="COT 1"/>
      <sheetName val="COT 2"/>
      <sheetName val="COT 3"/>
      <sheetName val="3 de 8"/>
      <sheetName val="4 de 8"/>
      <sheetName val="5 de 8"/>
      <sheetName val="6 de 8"/>
      <sheetName val="7 de 8 (2)"/>
      <sheetName val="7 de 8"/>
      <sheetName val="TARGETAS"/>
      <sheetName val="PRES 1 (2)"/>
      <sheetName val="PRE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el Pilar Reyes Maria Fernanda" id="{0662CE0D-B34E-4E16-BC8B-B4B98DAC4B43}" userId="S::zS22003748@estudiantes.uv.mx::83688eee-803e-4659-8b5f-2442292a4bf1" providerId="AD"/>
</personList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5-12-11T17:40:19.68" personId="{0662CE0D-B34E-4E16-BC8B-B4B98DAC4B43}" id="{5EB25D29-776D-46F8-95EF-0D68C81C48CC}">
    <text xml:space="preserve">Saldos finales de ing y egre
</text>
  </threadedComment>
  <threadedComment ref="Q14" dT="2025-12-11T17:43:58.59" personId="{0662CE0D-B34E-4E16-BC8B-B4B98DAC4B43}" id="{3E86EDE7-21C5-4C1D-BC5F-1F7B6FB91A3A}">
    <text>Resta de impuestos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21" dT="2025-12-11T17:49:14.93" personId="{0662CE0D-B34E-4E16-BC8B-B4B98DAC4B43}" id="{72A65252-981C-4627-A7F6-3D057B578FF9}">
    <text>Por el aumento de volumen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8" dT="2025-12-11T17:56:24.58" personId="{0662CE0D-B34E-4E16-BC8B-B4B98DAC4B43}" id="{A02D60D9-0692-47B2-B512-3136C1722BA7}">
    <text>Pago de la deuda a Fira/ crédito refaccionario/ apalancamiento</text>
  </threadedComment>
  <threadedComment ref="B9" dT="2025-12-11T17:56:03.38" personId="{0662CE0D-B34E-4E16-BC8B-B4B98DAC4B43}" id="{CA9F6547-5C5B-458F-B4E0-42F0BE59634A}">
    <text>Interes por mes / entre tasa anual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4" dT="2025-12-11T17:59:30.19" personId="{0662CE0D-B34E-4E16-BC8B-B4B98DAC4B43}" id="{5017155A-1EF3-4770-A5CB-F383F6261C97}">
    <text>Cuantas unidades tenemos que vender para que la utilidad sea cero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dT="2025-12-11T18:00:04.60" personId="{0662CE0D-B34E-4E16-BC8B-B4B98DAC4B43}" id="{FB2CBF77-E66C-4984-8D46-E14C05CB38B0}">
    <text>Si la empresa es capaz de soportar los cambios</text>
  </threadedComment>
  <threadedComment ref="B13" dT="2025-12-11T18:00:45.62" personId="{0662CE0D-B34E-4E16-BC8B-B4B98DAC4B43}" id="{3D03D216-9363-4C21-91FF-A9E021AA02AD}">
    <text>Indicador finan. Si es menos a 1.5 no va a soportar cambios de ventas y costos</text>
  </threadedComment>
  <threadedComment ref="B13" dT="2025-12-11T18:01:57.51" personId="{0662CE0D-B34E-4E16-BC8B-B4B98DAC4B43}" id="{5CC3793A-4DB6-4252-8993-0DB48315BAC1}" parentId="{3D03D216-9363-4C21-91FF-A9E021AA02AD}">
    <text>Para estas proyecciones no se muestra desastibilización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H11" dT="2025-12-11T17:36:54.19" personId="{0662CE0D-B34E-4E16-BC8B-B4B98DAC4B43}" id="{C9488CE7-F6C9-4FEC-BDB3-C1AA3F8084D5}">
    <text>Aumento 9% de precio de venta por la inflación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6" dT="2025-12-11T18:04:20.12" personId="{0662CE0D-B34E-4E16-BC8B-B4B98DAC4B43}" id="{DD9188ED-C5BF-4C57-86E2-22F7985D97FF}">
    <text>Lo que resyta ya final de depre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15D0-CA16-46EF-9CDC-41040FE15CA9}">
  <dimension ref="C1:M13"/>
  <sheetViews>
    <sheetView zoomScaleSheetLayoutView="100" workbookViewId="0">
      <selection activeCell="A8" sqref="A8:XFD8"/>
    </sheetView>
    <sheetView workbookViewId="1"/>
  </sheetViews>
  <sheetFormatPr baseColWidth="10" defaultColWidth="9.140625" defaultRowHeight="12.75" x14ac:dyDescent="0.2"/>
  <cols>
    <col min="3" max="3" width="45.28515625" customWidth="1"/>
    <col min="4" max="4" width="6.7109375" customWidth="1"/>
    <col min="5" max="5" width="75.5703125" customWidth="1"/>
  </cols>
  <sheetData>
    <row r="1" spans="3:13" ht="20.25" x14ac:dyDescent="0.3">
      <c r="C1" s="164" t="s">
        <v>0</v>
      </c>
    </row>
    <row r="3" spans="3:13" ht="18" x14ac:dyDescent="0.25">
      <c r="C3" s="47" t="s">
        <v>1</v>
      </c>
    </row>
    <row r="5" spans="3:13" ht="15.75" x14ac:dyDescent="0.25">
      <c r="C5" s="190" t="s">
        <v>2</v>
      </c>
      <c r="D5" s="191">
        <v>0.09</v>
      </c>
      <c r="E5" s="192" t="s">
        <v>3</v>
      </c>
      <c r="F5" s="193"/>
      <c r="G5" s="193"/>
      <c r="H5" s="193"/>
      <c r="I5" s="193"/>
      <c r="J5" s="193"/>
      <c r="K5" s="193"/>
      <c r="L5" s="13"/>
      <c r="M5" s="13"/>
    </row>
    <row r="6" spans="3:13" ht="15.75" x14ac:dyDescent="0.25">
      <c r="C6" s="194" t="s">
        <v>4</v>
      </c>
      <c r="D6" s="195">
        <v>0.12</v>
      </c>
      <c r="E6" s="140" t="s">
        <v>3</v>
      </c>
      <c r="F6" s="193"/>
      <c r="G6" s="193"/>
      <c r="H6" s="193"/>
      <c r="I6" s="193"/>
      <c r="J6" s="193"/>
      <c r="K6" s="193"/>
      <c r="L6" s="13"/>
      <c r="M6" s="13"/>
    </row>
    <row r="7" spans="3:13" ht="15.75" x14ac:dyDescent="0.25">
      <c r="C7" s="194" t="s">
        <v>5</v>
      </c>
      <c r="D7" s="195">
        <v>0.03</v>
      </c>
      <c r="E7" s="140" t="s">
        <v>6</v>
      </c>
      <c r="F7" s="193"/>
      <c r="G7" s="193"/>
      <c r="H7" s="193"/>
      <c r="I7" s="193"/>
      <c r="J7" s="193"/>
      <c r="K7" s="193"/>
      <c r="L7" s="13"/>
      <c r="M7" s="13"/>
    </row>
    <row r="8" spans="3:13" ht="15.75" x14ac:dyDescent="0.25">
      <c r="C8" s="194" t="s">
        <v>7</v>
      </c>
      <c r="D8" s="195">
        <v>0.09</v>
      </c>
      <c r="E8" s="140" t="s">
        <v>8</v>
      </c>
      <c r="F8" s="193"/>
      <c r="G8" s="193"/>
      <c r="H8" s="193"/>
      <c r="I8" s="193"/>
      <c r="J8" s="193"/>
      <c r="K8" s="193"/>
      <c r="L8" s="13"/>
      <c r="M8" s="13"/>
    </row>
    <row r="9" spans="3:13" ht="15" x14ac:dyDescent="0.2">
      <c r="C9" s="194"/>
      <c r="D9" s="140"/>
      <c r="E9" s="140"/>
      <c r="F9" s="13"/>
      <c r="G9" s="13"/>
      <c r="H9" s="13"/>
      <c r="I9" s="13"/>
      <c r="J9" s="13"/>
      <c r="K9" s="13"/>
      <c r="L9" s="13"/>
      <c r="M9" s="13"/>
    </row>
    <row r="10" spans="3:13" ht="15" x14ac:dyDescent="0.2">
      <c r="C10" s="194" t="s">
        <v>9</v>
      </c>
      <c r="D10" s="140"/>
      <c r="E10" s="140" t="s">
        <v>10</v>
      </c>
      <c r="F10" s="13"/>
      <c r="G10" s="13"/>
      <c r="H10" s="13"/>
      <c r="I10" s="13"/>
      <c r="J10" s="13"/>
      <c r="K10" s="13"/>
      <c r="L10" s="13"/>
      <c r="M10" s="13"/>
    </row>
    <row r="11" spans="3:13" ht="15" x14ac:dyDescent="0.2">
      <c r="C11" s="194"/>
      <c r="D11" s="140"/>
      <c r="E11" s="140"/>
    </row>
    <row r="12" spans="3:13" ht="15" x14ac:dyDescent="0.2">
      <c r="C12" s="194" t="s">
        <v>11</v>
      </c>
      <c r="D12" s="140"/>
      <c r="E12" s="140"/>
    </row>
    <row r="13" spans="3:13" ht="15" x14ac:dyDescent="0.2">
      <c r="C13" s="196" t="s">
        <v>12</v>
      </c>
      <c r="D13" s="197"/>
      <c r="E13" s="19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A36-2632-4840-B59C-28359930B990}">
  <dimension ref="A1:O104"/>
  <sheetViews>
    <sheetView zoomScale="73" workbookViewId="0">
      <selection activeCell="O30" sqref="O30"/>
    </sheetView>
    <sheetView zoomScale="65" workbookViewId="1"/>
  </sheetViews>
  <sheetFormatPr baseColWidth="10" defaultColWidth="11.42578125" defaultRowHeight="12.75" x14ac:dyDescent="0.2"/>
  <cols>
    <col min="2" max="2" width="39" customWidth="1"/>
    <col min="3" max="3" width="7.140625" customWidth="1"/>
    <col min="4" max="4" width="7" customWidth="1"/>
    <col min="5" max="5" width="6.85546875" customWidth="1"/>
    <col min="6" max="6" width="6.5703125" customWidth="1"/>
    <col min="7" max="7" width="7.140625" customWidth="1"/>
    <col min="8" max="8" width="6.85546875" customWidth="1"/>
    <col min="9" max="9" width="7" customWidth="1"/>
    <col min="10" max="10" width="7.140625" customWidth="1"/>
    <col min="11" max="11" width="6.140625" customWidth="1"/>
    <col min="12" max="12" width="7" customWidth="1"/>
    <col min="13" max="13" width="6.85546875" customWidth="1"/>
    <col min="14" max="14" width="7.28515625" customWidth="1"/>
  </cols>
  <sheetData>
    <row r="1" spans="1:14" ht="18" x14ac:dyDescent="0.25">
      <c r="A1" s="1" t="s">
        <v>64</v>
      </c>
    </row>
    <row r="2" spans="1:14" ht="18" x14ac:dyDescent="0.25">
      <c r="A2" s="1"/>
    </row>
    <row r="3" spans="1:14" ht="15.75" x14ac:dyDescent="0.25">
      <c r="A3" s="2" t="s">
        <v>65</v>
      </c>
      <c r="B3" s="2"/>
      <c r="C3" s="2"/>
      <c r="D3" s="2"/>
      <c r="F3" s="2"/>
      <c r="G3" s="2"/>
      <c r="H3" s="2"/>
      <c r="I3" s="13"/>
      <c r="J3" s="13"/>
      <c r="K3" s="13"/>
      <c r="L3" s="13"/>
      <c r="M3" s="13"/>
      <c r="N3" s="13"/>
    </row>
    <row r="4" spans="1:14" ht="15.75" x14ac:dyDescent="0.25">
      <c r="A4" s="2" t="s">
        <v>66</v>
      </c>
      <c r="B4" s="2"/>
      <c r="C4" s="2"/>
      <c r="D4" s="2"/>
      <c r="F4" s="2"/>
      <c r="G4" s="2"/>
      <c r="H4" s="2"/>
      <c r="I4" s="13"/>
      <c r="J4" s="13"/>
      <c r="K4" s="13"/>
      <c r="L4" s="13"/>
      <c r="M4" s="13"/>
      <c r="N4" s="13"/>
    </row>
    <row r="5" spans="1:14" ht="15.75" x14ac:dyDescent="0.25">
      <c r="A5" s="2" t="s">
        <v>67</v>
      </c>
      <c r="B5" s="2"/>
      <c r="C5" s="2"/>
      <c r="D5" s="2"/>
      <c r="E5" s="368"/>
      <c r="F5" s="368"/>
      <c r="G5" s="2"/>
      <c r="H5" s="368"/>
      <c r="I5" s="13"/>
      <c r="J5" s="13"/>
      <c r="K5" s="13"/>
      <c r="L5" s="13"/>
      <c r="M5" s="13"/>
      <c r="N5" s="13"/>
    </row>
    <row r="7" spans="1:14" ht="15.75" x14ac:dyDescent="0.25">
      <c r="A7" s="429" t="s">
        <v>68</v>
      </c>
      <c r="B7" s="430"/>
      <c r="C7" s="430"/>
      <c r="D7" s="430"/>
      <c r="E7" s="430"/>
      <c r="F7" s="430"/>
      <c r="G7" s="430"/>
      <c r="H7" s="430"/>
      <c r="I7" s="430"/>
      <c r="J7" s="430"/>
      <c r="K7" s="430"/>
      <c r="L7" s="430"/>
      <c r="M7" s="430"/>
      <c r="N7" s="430"/>
    </row>
    <row r="8" spans="1:14" ht="15" x14ac:dyDescent="0.2">
      <c r="A8" s="3"/>
      <c r="B8" s="3"/>
      <c r="C8" s="431" t="s">
        <v>69</v>
      </c>
      <c r="D8" s="432"/>
      <c r="E8" s="432"/>
      <c r="F8" s="432"/>
      <c r="G8" s="432"/>
      <c r="H8" s="432"/>
      <c r="I8" s="432"/>
      <c r="J8" s="432"/>
      <c r="K8" s="432"/>
      <c r="L8" s="432"/>
      <c r="M8" s="432"/>
      <c r="N8" s="433"/>
    </row>
    <row r="9" spans="1:14" ht="15.75" x14ac:dyDescent="0.25">
      <c r="A9" s="434" t="s">
        <v>70</v>
      </c>
      <c r="B9" s="434"/>
      <c r="C9" s="370">
        <v>1</v>
      </c>
      <c r="D9" s="370">
        <v>2</v>
      </c>
      <c r="E9" s="370">
        <v>3</v>
      </c>
      <c r="F9" s="370">
        <v>4</v>
      </c>
      <c r="G9" s="370">
        <v>5</v>
      </c>
      <c r="H9" s="370">
        <v>6</v>
      </c>
      <c r="I9" s="370">
        <v>7</v>
      </c>
      <c r="J9" s="370">
        <v>8</v>
      </c>
      <c r="K9" s="370">
        <v>9</v>
      </c>
      <c r="L9" s="370">
        <v>10</v>
      </c>
      <c r="M9" s="370">
        <v>11</v>
      </c>
      <c r="N9" s="370">
        <v>12</v>
      </c>
    </row>
    <row r="10" spans="1:14" ht="15.75" x14ac:dyDescent="0.25">
      <c r="A10" s="3"/>
      <c r="B10" s="4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15.75" x14ac:dyDescent="0.25">
      <c r="A11" s="3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15.75" x14ac:dyDescent="0.25">
      <c r="A12" s="3"/>
      <c r="B12" s="4"/>
      <c r="C12" s="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5.75" x14ac:dyDescent="0.25">
      <c r="A13" s="3"/>
      <c r="B13" s="4"/>
      <c r="C13" s="3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5.75" x14ac:dyDescent="0.25">
      <c r="A14" s="3"/>
      <c r="B14" s="4"/>
      <c r="C14" s="5"/>
      <c r="D14" s="5"/>
      <c r="E14" s="3"/>
      <c r="F14" s="6"/>
      <c r="G14" s="7"/>
      <c r="H14" s="3"/>
      <c r="I14" s="3"/>
      <c r="J14" s="3"/>
      <c r="K14" s="3"/>
      <c r="L14" s="7"/>
      <c r="M14" s="3"/>
      <c r="N14" s="3"/>
    </row>
    <row r="15" spans="1:14" ht="15" x14ac:dyDescent="0.2">
      <c r="A15" s="3"/>
      <c r="B15" s="3"/>
      <c r="C15" s="3"/>
      <c r="D15" s="3"/>
      <c r="E15" s="3"/>
      <c r="F15" s="8"/>
      <c r="G15" s="3"/>
      <c r="H15" s="3"/>
      <c r="I15" s="3"/>
      <c r="J15" s="21"/>
      <c r="K15" s="3"/>
      <c r="L15" s="3"/>
      <c r="M15" s="3"/>
      <c r="N15" s="8"/>
    </row>
    <row r="16" spans="1:14" ht="15" x14ac:dyDescent="0.2">
      <c r="A16" s="3"/>
      <c r="B16" s="3"/>
      <c r="C16" s="5"/>
      <c r="D16" s="3"/>
      <c r="E16" s="3"/>
      <c r="F16" s="8"/>
      <c r="G16" s="3"/>
      <c r="H16" s="3"/>
      <c r="I16" s="3"/>
      <c r="J16" s="3"/>
      <c r="K16" s="3"/>
      <c r="L16" s="3"/>
      <c r="M16" s="3"/>
      <c r="N16" s="3"/>
    </row>
    <row r="17" spans="1:14" ht="15" x14ac:dyDescent="0.2">
      <c r="A17" s="3"/>
      <c r="B17" s="3"/>
      <c r="C17" s="3"/>
      <c r="D17" s="5"/>
      <c r="E17" s="3"/>
      <c r="F17" s="8"/>
      <c r="G17" s="3"/>
      <c r="H17" s="3"/>
      <c r="I17" s="3"/>
      <c r="J17" s="3"/>
      <c r="K17" s="3"/>
      <c r="L17" s="3"/>
      <c r="M17" s="3"/>
      <c r="N17" s="3"/>
    </row>
    <row r="18" spans="1:14" ht="15" x14ac:dyDescent="0.2">
      <c r="A18" s="3"/>
      <c r="B18" s="3"/>
      <c r="C18" s="3"/>
      <c r="D18" s="5"/>
      <c r="E18" s="3"/>
      <c r="F18" s="8"/>
      <c r="G18" s="3"/>
      <c r="H18" s="3"/>
      <c r="I18" s="3"/>
      <c r="J18" s="3"/>
      <c r="K18" s="3"/>
      <c r="L18" s="3"/>
      <c r="M18" s="3"/>
      <c r="N18" s="3"/>
    </row>
    <row r="19" spans="1:14" ht="15" x14ac:dyDescent="0.2">
      <c r="A19" s="3"/>
      <c r="B19" s="3"/>
      <c r="C19" s="3"/>
      <c r="D19" s="5"/>
      <c r="E19" s="3"/>
      <c r="F19" s="8"/>
      <c r="G19" s="3"/>
      <c r="H19" s="3"/>
      <c r="I19" s="3"/>
      <c r="J19" s="3"/>
      <c r="K19" s="3"/>
      <c r="L19" s="3"/>
      <c r="M19" s="3"/>
      <c r="N19" s="3"/>
    </row>
    <row r="20" spans="1:14" ht="15" x14ac:dyDescent="0.2">
      <c r="A20" s="3"/>
      <c r="B20" s="3"/>
      <c r="C20" s="3"/>
      <c r="D20" s="5"/>
      <c r="E20" s="3"/>
      <c r="F20" s="8"/>
      <c r="G20" s="3"/>
      <c r="H20" s="3"/>
      <c r="I20" s="3"/>
      <c r="J20" s="3"/>
      <c r="K20" s="3"/>
      <c r="L20" s="3"/>
      <c r="M20" s="3"/>
      <c r="N20" s="3"/>
    </row>
    <row r="21" spans="1:14" ht="15" x14ac:dyDescent="0.2">
      <c r="A21" s="3"/>
      <c r="B21" s="3"/>
      <c r="C21" s="3"/>
      <c r="D21" s="5"/>
      <c r="E21" s="3"/>
      <c r="F21" s="8"/>
      <c r="G21" s="3"/>
      <c r="H21" s="3"/>
      <c r="I21" s="3"/>
      <c r="J21" s="3"/>
      <c r="K21" s="3"/>
      <c r="L21" s="3"/>
      <c r="M21" s="3"/>
      <c r="N21" s="3"/>
    </row>
    <row r="22" spans="1:14" ht="15" x14ac:dyDescent="0.2">
      <c r="A22" s="3"/>
      <c r="B22" s="3"/>
      <c r="C22" s="3"/>
      <c r="D22" s="5"/>
      <c r="E22" s="3"/>
      <c r="F22" s="8"/>
      <c r="G22" s="3"/>
      <c r="H22" s="3"/>
      <c r="I22" s="3"/>
      <c r="J22" s="3"/>
      <c r="K22" s="3"/>
      <c r="L22" s="3"/>
      <c r="M22" s="3"/>
      <c r="N22" s="3"/>
    </row>
    <row r="23" spans="1:14" ht="15" x14ac:dyDescent="0.2">
      <c r="A23" s="3"/>
      <c r="B23" s="3"/>
      <c r="C23" s="3"/>
      <c r="D23" s="5"/>
      <c r="E23" s="3"/>
      <c r="F23" s="8"/>
      <c r="G23" s="3"/>
      <c r="H23" s="3"/>
      <c r="I23" s="3"/>
      <c r="J23" s="3"/>
      <c r="K23" s="3"/>
      <c r="L23" s="3"/>
      <c r="M23" s="3"/>
      <c r="N23" s="3"/>
    </row>
    <row r="24" spans="1:14" ht="15" x14ac:dyDescent="0.2">
      <c r="A24" s="3"/>
      <c r="B24" s="3"/>
      <c r="C24" s="3"/>
      <c r="D24" s="5"/>
      <c r="E24" s="3"/>
      <c r="F24" s="8"/>
      <c r="G24" s="3"/>
      <c r="H24" s="3"/>
      <c r="I24" s="3"/>
      <c r="J24" s="8"/>
      <c r="K24" s="3"/>
      <c r="L24" s="3"/>
      <c r="M24" s="3"/>
      <c r="N24" s="8"/>
    </row>
    <row r="25" spans="1:14" ht="15" x14ac:dyDescent="0.2">
      <c r="A25" s="3"/>
      <c r="B25" s="3"/>
      <c r="C25" s="3"/>
      <c r="D25" s="5"/>
      <c r="E25" s="3"/>
      <c r="F25" s="8"/>
      <c r="G25" s="3"/>
      <c r="H25" s="3"/>
      <c r="I25" s="3"/>
      <c r="J25" s="8"/>
      <c r="K25" s="3"/>
      <c r="L25" s="3"/>
      <c r="M25" s="3"/>
      <c r="N25" s="8"/>
    </row>
    <row r="26" spans="1:14" ht="15" x14ac:dyDescent="0.2">
      <c r="A26" s="3"/>
      <c r="B26" s="3"/>
      <c r="C26" s="3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5" x14ac:dyDescent="0.2">
      <c r="A27" s="3"/>
      <c r="B27" s="3"/>
      <c r="C27" s="3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5" x14ac:dyDescent="0.2">
      <c r="A28" s="3"/>
      <c r="B28" s="3"/>
      <c r="C28" s="3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5" x14ac:dyDescent="0.2">
      <c r="A29" s="3"/>
      <c r="B29" s="3"/>
      <c r="C29" s="3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5" x14ac:dyDescent="0.2">
      <c r="A30" s="3"/>
      <c r="B30" s="3"/>
      <c r="C30" s="3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5" x14ac:dyDescent="0.2">
      <c r="A31" s="3"/>
      <c r="B31" s="3"/>
      <c r="C31" s="3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5" x14ac:dyDescent="0.2">
      <c r="A32" s="3"/>
      <c r="B32" s="3"/>
      <c r="C32" s="3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5" x14ac:dyDescent="0.2">
      <c r="A33" s="3"/>
      <c r="B33" s="3"/>
      <c r="C33" s="3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5" x14ac:dyDescent="0.2">
      <c r="A34" s="3"/>
      <c r="B34" s="3"/>
      <c r="C34" s="3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5" x14ac:dyDescent="0.2">
      <c r="A35" s="3"/>
      <c r="B35" s="3"/>
      <c r="C35" s="3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5" x14ac:dyDescent="0.2">
      <c r="A36" s="3"/>
      <c r="B36" s="3"/>
      <c r="C36" s="3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5" x14ac:dyDescent="0.2">
      <c r="A37" s="3"/>
      <c r="B37" s="3"/>
      <c r="C37" s="3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15" x14ac:dyDescent="0.2">
      <c r="A38" s="3"/>
      <c r="B38" s="3"/>
      <c r="C38" s="3"/>
      <c r="D38" s="5"/>
      <c r="E38" s="3"/>
      <c r="F38" s="3"/>
      <c r="G38" s="3"/>
      <c r="H38" s="3"/>
      <c r="I38" s="3"/>
      <c r="J38" s="3"/>
      <c r="K38" s="5"/>
      <c r="L38" s="5"/>
      <c r="M38" s="3"/>
      <c r="N38" s="3"/>
    </row>
    <row r="39" spans="1:14" ht="15" x14ac:dyDescent="0.2">
      <c r="A39" s="3"/>
      <c r="B39" s="3"/>
      <c r="C39" s="3"/>
      <c r="D39" s="5"/>
      <c r="E39" s="3"/>
      <c r="F39" s="3"/>
      <c r="G39" s="3"/>
      <c r="H39" s="3"/>
      <c r="I39" s="3"/>
      <c r="J39" s="3"/>
      <c r="K39" s="3"/>
      <c r="L39" s="3"/>
      <c r="M39" s="5"/>
      <c r="N39" s="5"/>
    </row>
    <row r="40" spans="1:14" ht="15" x14ac:dyDescent="0.2">
      <c r="A40" s="3"/>
      <c r="B40" s="3"/>
      <c r="C40" s="3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15" x14ac:dyDescent="0.2">
      <c r="A41" s="3"/>
      <c r="B41" s="3"/>
      <c r="C41" s="3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15" x14ac:dyDescent="0.2">
      <c r="A42" s="3"/>
      <c r="B42" s="3"/>
      <c r="C42" s="3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5" x14ac:dyDescent="0.2">
      <c r="A43" s="3"/>
      <c r="B43" s="3"/>
      <c r="C43" s="3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5" x14ac:dyDescent="0.2">
      <c r="A44" s="3"/>
      <c r="B44" s="3"/>
      <c r="C44" s="3"/>
      <c r="D44" s="3"/>
      <c r="E44" s="5"/>
      <c r="F44" s="5"/>
      <c r="G44" s="5"/>
      <c r="H44" s="3"/>
      <c r="I44" s="3"/>
      <c r="J44" s="3"/>
      <c r="K44" s="5"/>
      <c r="L44" s="5"/>
      <c r="M44" s="5"/>
      <c r="N44" s="3"/>
    </row>
    <row r="45" spans="1:14" ht="15" x14ac:dyDescent="0.2">
      <c r="A45" s="3"/>
      <c r="B45" s="3"/>
      <c r="C45" s="3"/>
      <c r="D45" s="3"/>
      <c r="E45" s="5"/>
      <c r="F45" s="3"/>
      <c r="G45" s="3"/>
      <c r="H45" s="3"/>
      <c r="I45" s="3"/>
      <c r="J45" s="3"/>
      <c r="K45" s="5"/>
      <c r="L45" s="3"/>
      <c r="M45" s="3"/>
      <c r="N45" s="3"/>
    </row>
    <row r="46" spans="1:14" ht="15" x14ac:dyDescent="0.2">
      <c r="A46" s="3"/>
      <c r="B46" s="3"/>
      <c r="C46" s="3"/>
      <c r="D46" s="3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spans="1:14" ht="15" x14ac:dyDescent="0.2">
      <c r="A47" s="9"/>
      <c r="B47" s="9"/>
      <c r="C47" s="9"/>
      <c r="D47" s="9"/>
      <c r="E47" s="9"/>
      <c r="F47" s="9"/>
      <c r="G47" s="10"/>
      <c r="H47" s="9"/>
      <c r="I47" s="10"/>
      <c r="J47" s="9"/>
      <c r="K47" s="10"/>
      <c r="L47" s="9"/>
      <c r="M47" s="10"/>
      <c r="N47" s="9"/>
    </row>
    <row r="48" spans="1:14" x14ac:dyDescent="0.2">
      <c r="A48" s="11"/>
      <c r="B48" s="12"/>
      <c r="C48" s="12"/>
      <c r="D48" s="12"/>
    </row>
    <row r="49" spans="1:15" x14ac:dyDescent="0.2">
      <c r="A49" s="11"/>
      <c r="B49" s="12"/>
      <c r="C49" s="12"/>
      <c r="D49" s="12"/>
    </row>
    <row r="50" spans="1:15" x14ac:dyDescent="0.2">
      <c r="A50" s="11"/>
      <c r="B50" s="12"/>
      <c r="C50" s="12"/>
      <c r="D50" s="12"/>
    </row>
    <row r="51" spans="1:15" ht="15.75" x14ac:dyDescent="0.25">
      <c r="A51" s="427" t="s">
        <v>71</v>
      </c>
      <c r="B51" s="428"/>
      <c r="C51" s="428"/>
      <c r="D51" s="428"/>
      <c r="E51" s="428"/>
      <c r="F51" s="428"/>
      <c r="G51" s="428"/>
      <c r="H51" s="428"/>
      <c r="I51" s="428"/>
      <c r="J51" s="428"/>
      <c r="K51" s="428"/>
      <c r="L51" s="428"/>
      <c r="M51" s="428"/>
      <c r="N51" s="428"/>
      <c r="O51" s="13"/>
    </row>
    <row r="52" spans="1:15" ht="15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spans="1:15" ht="15.75" x14ac:dyDescent="0.25">
      <c r="A53" s="14"/>
      <c r="B53" s="15" t="s">
        <v>70</v>
      </c>
      <c r="C53" s="370">
        <v>1</v>
      </c>
      <c r="D53" s="370">
        <v>2</v>
      </c>
      <c r="E53" s="370">
        <v>3</v>
      </c>
      <c r="F53" s="370">
        <v>4</v>
      </c>
      <c r="G53" s="370">
        <v>5</v>
      </c>
      <c r="H53" s="370">
        <v>6</v>
      </c>
      <c r="I53" s="370">
        <v>7</v>
      </c>
      <c r="J53" s="370">
        <v>8</v>
      </c>
      <c r="K53" s="370">
        <v>9</v>
      </c>
      <c r="L53" s="370">
        <v>10</v>
      </c>
      <c r="M53" s="370">
        <v>11</v>
      </c>
      <c r="N53" s="370">
        <v>12</v>
      </c>
      <c r="O53" s="13"/>
    </row>
    <row r="54" spans="1:15" ht="15.75" x14ac:dyDescent="0.25">
      <c r="A54" s="3"/>
      <c r="B54" s="16"/>
      <c r="C54" s="17"/>
      <c r="D54" s="17"/>
      <c r="E54" s="17"/>
      <c r="F54" s="17"/>
      <c r="G54" s="17"/>
      <c r="H54" s="17"/>
      <c r="I54" s="17"/>
      <c r="J54" s="17"/>
      <c r="K54" s="22"/>
      <c r="L54" s="17"/>
      <c r="M54" s="17"/>
      <c r="N54" s="17"/>
      <c r="O54" s="13"/>
    </row>
    <row r="55" spans="1:15" ht="15" x14ac:dyDescent="0.2">
      <c r="A55" s="3"/>
      <c r="B55" s="18"/>
      <c r="C55" s="3"/>
      <c r="D55" s="5"/>
      <c r="E55" s="3"/>
      <c r="F55" s="3"/>
      <c r="G55" s="3"/>
      <c r="H55" s="3"/>
      <c r="I55" s="3"/>
      <c r="J55" s="5"/>
      <c r="K55" s="23"/>
      <c r="L55" s="3"/>
      <c r="M55" s="3"/>
      <c r="N55" s="3"/>
      <c r="O55" s="13"/>
    </row>
    <row r="56" spans="1:15" ht="15" x14ac:dyDescent="0.2">
      <c r="A56" s="3"/>
      <c r="B56" s="19"/>
      <c r="C56" s="5"/>
      <c r="D56" s="3"/>
      <c r="E56" s="3"/>
      <c r="F56" s="3"/>
      <c r="G56" s="3"/>
      <c r="H56" s="3"/>
      <c r="I56" s="3"/>
      <c r="J56" s="3"/>
      <c r="K56" s="23"/>
      <c r="L56" s="3"/>
      <c r="M56" s="3"/>
      <c r="N56" s="3"/>
      <c r="O56" s="13"/>
    </row>
    <row r="57" spans="1:15" ht="15" x14ac:dyDescent="0.2">
      <c r="A57" s="3"/>
      <c r="B57" s="20"/>
      <c r="C57" s="3"/>
      <c r="D57" s="3"/>
      <c r="E57" s="5"/>
      <c r="F57" s="21"/>
      <c r="G57" s="3"/>
      <c r="H57" s="3"/>
      <c r="I57" s="3"/>
      <c r="J57" s="3"/>
      <c r="K57" s="23"/>
      <c r="L57" s="3"/>
      <c r="M57" s="3"/>
      <c r="N57" s="3"/>
      <c r="O57" s="13"/>
    </row>
    <row r="58" spans="1:15" ht="15" x14ac:dyDescent="0.2">
      <c r="A58" s="3"/>
      <c r="B58" s="19"/>
      <c r="C58" s="3"/>
      <c r="D58" s="3"/>
      <c r="E58" s="3"/>
      <c r="F58" s="8"/>
      <c r="G58" s="5"/>
      <c r="H58" s="5"/>
      <c r="I58" s="5"/>
      <c r="J58" s="5"/>
      <c r="K58" s="23"/>
      <c r="L58" s="3"/>
      <c r="M58" s="5"/>
      <c r="N58" s="5"/>
      <c r="O58" s="13"/>
    </row>
    <row r="59" spans="1:15" ht="15" x14ac:dyDescent="0.2">
      <c r="A59" s="3"/>
      <c r="B59" s="19"/>
      <c r="C59" s="3"/>
      <c r="D59" s="3"/>
      <c r="E59" s="5"/>
      <c r="F59" s="8"/>
      <c r="G59" s="3"/>
      <c r="H59" s="3"/>
      <c r="I59" s="3"/>
      <c r="J59" s="3"/>
      <c r="K59" s="24"/>
      <c r="L59" s="3"/>
      <c r="M59" s="3"/>
      <c r="N59" s="3"/>
      <c r="O59" s="13"/>
    </row>
    <row r="60" spans="1:15" ht="15" x14ac:dyDescent="0.2">
      <c r="A60" s="3"/>
      <c r="B60" s="20"/>
      <c r="C60" s="3"/>
      <c r="D60" s="3"/>
      <c r="E60" s="5"/>
      <c r="F60" s="8"/>
      <c r="G60" s="3"/>
      <c r="H60" s="3"/>
      <c r="I60" s="3"/>
      <c r="J60" s="3"/>
      <c r="K60" s="24"/>
      <c r="L60" s="3"/>
      <c r="M60" s="3"/>
      <c r="N60" s="3"/>
      <c r="O60" s="13"/>
    </row>
    <row r="61" spans="1:15" ht="15" x14ac:dyDescent="0.2">
      <c r="A61" s="3"/>
      <c r="B61" s="19"/>
      <c r="C61" s="3"/>
      <c r="D61" s="3"/>
      <c r="E61" s="5"/>
      <c r="F61" s="5"/>
      <c r="G61" s="5"/>
      <c r="H61" s="3"/>
      <c r="I61" s="3"/>
      <c r="J61" s="3"/>
      <c r="K61" s="24"/>
      <c r="L61" s="5"/>
      <c r="M61" s="5"/>
      <c r="N61" s="3"/>
      <c r="O61" s="13"/>
    </row>
    <row r="62" spans="1:15" ht="15" x14ac:dyDescent="0.2">
      <c r="A62" s="3"/>
      <c r="B62" s="19"/>
      <c r="C62" s="3"/>
      <c r="D62" s="3"/>
      <c r="E62" s="5"/>
      <c r="F62" s="3"/>
      <c r="G62" s="3"/>
      <c r="H62" s="3"/>
      <c r="I62" s="3"/>
      <c r="J62" s="3"/>
      <c r="K62" s="24"/>
      <c r="L62" s="3"/>
      <c r="M62" s="3"/>
      <c r="N62" s="3"/>
      <c r="O62" s="13"/>
    </row>
    <row r="63" spans="1:15" ht="15" x14ac:dyDescent="0.2">
      <c r="A63" s="3"/>
      <c r="B63" s="19"/>
      <c r="C63" s="5"/>
      <c r="D63" s="5"/>
      <c r="E63" s="5"/>
      <c r="F63" s="5"/>
      <c r="G63" s="5"/>
      <c r="H63" s="5"/>
      <c r="I63" s="5"/>
      <c r="J63" s="5"/>
      <c r="K63" s="24"/>
      <c r="L63" s="5"/>
      <c r="M63" s="5"/>
      <c r="N63" s="5"/>
      <c r="O63" s="13"/>
    </row>
    <row r="64" spans="1:15" ht="15" x14ac:dyDescent="0.2">
      <c r="A64" s="9"/>
      <c r="B64" s="19"/>
      <c r="C64" s="5"/>
      <c r="D64" s="3"/>
      <c r="E64" s="5"/>
      <c r="F64" s="3"/>
      <c r="G64" s="5"/>
      <c r="H64" s="3"/>
      <c r="I64" s="5"/>
      <c r="J64" s="3"/>
      <c r="K64" s="24"/>
      <c r="L64" s="3"/>
      <c r="M64" s="5"/>
      <c r="N64" s="3"/>
      <c r="O64" s="13"/>
    </row>
    <row r="65" spans="1:15" ht="15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spans="1:15" ht="15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spans="1:15" ht="15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spans="1:15" ht="15.75" x14ac:dyDescent="0.25">
      <c r="A68" s="427" t="s">
        <v>72</v>
      </c>
      <c r="B68" s="428"/>
      <c r="C68" s="428"/>
      <c r="D68" s="428"/>
      <c r="E68" s="428"/>
      <c r="F68" s="428"/>
      <c r="G68" s="428"/>
      <c r="H68" s="428"/>
      <c r="I68" s="428"/>
      <c r="J68" s="428"/>
      <c r="K68" s="428"/>
      <c r="L68" s="428"/>
      <c r="M68" s="428"/>
      <c r="N68" s="428"/>
      <c r="O68" s="13"/>
    </row>
    <row r="69" spans="1:15" ht="15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spans="1:15" ht="15.75" x14ac:dyDescent="0.25">
      <c r="A70" s="25"/>
      <c r="B70" s="26" t="s">
        <v>70</v>
      </c>
      <c r="C70" s="370">
        <v>1</v>
      </c>
      <c r="D70" s="370">
        <v>2</v>
      </c>
      <c r="E70" s="370">
        <v>3</v>
      </c>
      <c r="F70" s="370">
        <v>4</v>
      </c>
      <c r="G70" s="370">
        <v>5</v>
      </c>
      <c r="H70" s="370">
        <v>6</v>
      </c>
      <c r="I70" s="370">
        <v>7</v>
      </c>
      <c r="J70" s="370">
        <v>8</v>
      </c>
      <c r="K70" s="370">
        <v>9</v>
      </c>
      <c r="L70" s="370">
        <v>10</v>
      </c>
      <c r="M70" s="370">
        <v>11</v>
      </c>
      <c r="N70" s="370">
        <v>12</v>
      </c>
      <c r="O70" s="13"/>
    </row>
    <row r="71" spans="1:15" ht="15.75" x14ac:dyDescent="0.25">
      <c r="A71" s="3"/>
      <c r="B71" s="16"/>
      <c r="C71" s="17"/>
      <c r="D71" s="17"/>
      <c r="E71" s="17"/>
      <c r="F71" s="17"/>
      <c r="G71" s="17"/>
      <c r="H71" s="17"/>
      <c r="I71" s="17"/>
      <c r="J71" s="17"/>
      <c r="K71" s="22"/>
      <c r="L71" s="17"/>
      <c r="M71" s="17"/>
      <c r="N71" s="17"/>
      <c r="O71" s="13"/>
    </row>
    <row r="72" spans="1:15" ht="15" x14ac:dyDescent="0.2">
      <c r="A72" s="3"/>
      <c r="B72" s="18"/>
      <c r="C72" s="3"/>
      <c r="D72" s="5"/>
      <c r="E72" s="3"/>
      <c r="F72" s="3"/>
      <c r="G72" s="3"/>
      <c r="H72" s="3"/>
      <c r="I72" s="3"/>
      <c r="J72" s="5"/>
      <c r="K72" s="23"/>
      <c r="L72" s="3"/>
      <c r="M72" s="3"/>
      <c r="N72" s="3"/>
      <c r="O72" s="13"/>
    </row>
    <row r="73" spans="1:15" ht="15" x14ac:dyDescent="0.2">
      <c r="A73" s="3"/>
      <c r="B73" s="19"/>
      <c r="C73" s="5"/>
      <c r="D73" s="3"/>
      <c r="E73" s="3"/>
      <c r="F73" s="3"/>
      <c r="G73" s="3"/>
      <c r="H73" s="3"/>
      <c r="I73" s="3"/>
      <c r="J73" s="3"/>
      <c r="K73" s="23"/>
      <c r="L73" s="3"/>
      <c r="M73" s="3"/>
      <c r="N73" s="3"/>
      <c r="O73" s="13"/>
    </row>
    <row r="74" spans="1:15" ht="15" x14ac:dyDescent="0.2">
      <c r="A74" s="3"/>
      <c r="B74" s="20"/>
      <c r="C74" s="3"/>
      <c r="D74" s="3"/>
      <c r="E74" s="5"/>
      <c r="F74" s="21"/>
      <c r="G74" s="3"/>
      <c r="H74" s="3"/>
      <c r="I74" s="3"/>
      <c r="J74" s="3"/>
      <c r="K74" s="23"/>
      <c r="L74" s="3"/>
      <c r="M74" s="3"/>
      <c r="N74" s="3"/>
      <c r="O74" s="13"/>
    </row>
    <row r="75" spans="1:15" ht="15" x14ac:dyDescent="0.2">
      <c r="A75" s="3"/>
      <c r="B75" s="19"/>
      <c r="C75" s="3"/>
      <c r="D75" s="3"/>
      <c r="E75" s="3"/>
      <c r="F75" s="8"/>
      <c r="G75" s="5"/>
      <c r="H75" s="5"/>
      <c r="I75" s="5"/>
      <c r="J75" s="5"/>
      <c r="K75" s="23"/>
      <c r="L75" s="3"/>
      <c r="M75" s="5"/>
      <c r="N75" s="5"/>
      <c r="O75" s="13"/>
    </row>
    <row r="76" spans="1:15" ht="15" x14ac:dyDescent="0.2">
      <c r="A76" s="3"/>
      <c r="B76" s="19"/>
      <c r="C76" s="3"/>
      <c r="D76" s="3"/>
      <c r="E76" s="5"/>
      <c r="F76" s="8"/>
      <c r="G76" s="3"/>
      <c r="H76" s="3"/>
      <c r="I76" s="3"/>
      <c r="J76" s="3"/>
      <c r="K76" s="24"/>
      <c r="L76" s="3"/>
      <c r="M76" s="3"/>
      <c r="N76" s="3"/>
      <c r="O76" s="13"/>
    </row>
    <row r="77" spans="1:15" ht="15" x14ac:dyDescent="0.2">
      <c r="A77" s="3"/>
      <c r="B77" s="20"/>
      <c r="C77" s="3"/>
      <c r="D77" s="3"/>
      <c r="E77" s="5"/>
      <c r="F77" s="8"/>
      <c r="G77" s="3"/>
      <c r="H77" s="3"/>
      <c r="I77" s="3"/>
      <c r="J77" s="3"/>
      <c r="K77" s="24"/>
      <c r="L77" s="3"/>
      <c r="M77" s="3"/>
      <c r="N77" s="3"/>
      <c r="O77" s="13"/>
    </row>
    <row r="78" spans="1:15" ht="15" x14ac:dyDescent="0.2">
      <c r="A78" s="3"/>
      <c r="B78" s="19"/>
      <c r="C78" s="3"/>
      <c r="D78" s="3"/>
      <c r="E78" s="5"/>
      <c r="F78" s="5"/>
      <c r="G78" s="5"/>
      <c r="H78" s="3"/>
      <c r="I78" s="3"/>
      <c r="J78" s="3"/>
      <c r="K78" s="24"/>
      <c r="L78" s="5"/>
      <c r="M78" s="5"/>
      <c r="N78" s="3"/>
      <c r="O78" s="13"/>
    </row>
    <row r="79" spans="1:15" ht="15" x14ac:dyDescent="0.2">
      <c r="A79" s="3"/>
      <c r="B79" s="19"/>
      <c r="C79" s="3"/>
      <c r="D79" s="3"/>
      <c r="E79" s="5"/>
      <c r="F79" s="3"/>
      <c r="G79" s="3"/>
      <c r="H79" s="3"/>
      <c r="I79" s="3"/>
      <c r="J79" s="3"/>
      <c r="K79" s="24"/>
      <c r="L79" s="3"/>
      <c r="M79" s="3"/>
      <c r="N79" s="3"/>
      <c r="O79" s="13"/>
    </row>
    <row r="80" spans="1:15" ht="15" x14ac:dyDescent="0.2">
      <c r="A80" s="3"/>
      <c r="B80" s="19"/>
      <c r="C80" s="5"/>
      <c r="D80" s="5"/>
      <c r="E80" s="5"/>
      <c r="F80" s="5"/>
      <c r="G80" s="5"/>
      <c r="H80" s="5"/>
      <c r="I80" s="5"/>
      <c r="J80" s="5"/>
      <c r="K80" s="24"/>
      <c r="L80" s="5"/>
      <c r="M80" s="5"/>
      <c r="N80" s="5"/>
      <c r="O80" s="13"/>
    </row>
    <row r="81" spans="1:15" ht="15" x14ac:dyDescent="0.2">
      <c r="A81" s="9"/>
      <c r="B81" s="19"/>
      <c r="C81" s="5"/>
      <c r="D81" s="3"/>
      <c r="E81" s="5"/>
      <c r="F81" s="3"/>
      <c r="G81" s="5"/>
      <c r="H81" s="3"/>
      <c r="I81" s="5"/>
      <c r="J81" s="3"/>
      <c r="K81" s="24"/>
      <c r="L81" s="3"/>
      <c r="M81" s="5"/>
      <c r="N81" s="3"/>
      <c r="O81" s="13"/>
    </row>
    <row r="82" spans="1:15" ht="15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spans="1:15" ht="15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spans="1:15" ht="15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spans="1:15" ht="15.75" x14ac:dyDescent="0.25">
      <c r="A85" s="427" t="s">
        <v>73</v>
      </c>
      <c r="B85" s="428"/>
      <c r="C85" s="428"/>
      <c r="D85" s="428"/>
      <c r="E85" s="428"/>
      <c r="F85" s="428"/>
      <c r="G85" s="428"/>
      <c r="H85" s="428"/>
      <c r="I85" s="428"/>
      <c r="J85" s="428"/>
      <c r="K85" s="428"/>
      <c r="L85" s="428"/>
      <c r="M85" s="428"/>
      <c r="N85" s="428"/>
      <c r="O85" s="13"/>
    </row>
    <row r="86" spans="1:15" ht="15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spans="1:15" ht="15.75" x14ac:dyDescent="0.25">
      <c r="A87" s="25"/>
      <c r="B87" s="27" t="s">
        <v>70</v>
      </c>
      <c r="C87" s="370">
        <v>1</v>
      </c>
      <c r="D87" s="370">
        <v>2</v>
      </c>
      <c r="E87" s="370">
        <v>3</v>
      </c>
      <c r="F87" s="370">
        <v>4</v>
      </c>
      <c r="G87" s="370">
        <v>5</v>
      </c>
      <c r="H87" s="370">
        <v>6</v>
      </c>
      <c r="I87" s="370">
        <v>7</v>
      </c>
      <c r="J87" s="370">
        <v>8</v>
      </c>
      <c r="K87" s="370">
        <v>9</v>
      </c>
      <c r="L87" s="370">
        <v>10</v>
      </c>
      <c r="M87" s="370">
        <v>11</v>
      </c>
      <c r="N87" s="370">
        <v>12</v>
      </c>
      <c r="O87" s="13"/>
    </row>
    <row r="88" spans="1:15" ht="15.75" x14ac:dyDescent="0.25">
      <c r="A88" s="3"/>
      <c r="B88" s="16"/>
      <c r="C88" s="17"/>
      <c r="D88" s="17"/>
      <c r="E88" s="17"/>
      <c r="F88" s="17"/>
      <c r="G88" s="17"/>
      <c r="H88" s="17"/>
      <c r="I88" s="17"/>
      <c r="J88" s="17"/>
      <c r="K88" s="22"/>
      <c r="L88" s="17"/>
      <c r="M88" s="17"/>
      <c r="N88" s="17"/>
      <c r="O88" s="13"/>
    </row>
    <row r="89" spans="1:15" ht="15" x14ac:dyDescent="0.2">
      <c r="A89" s="3"/>
      <c r="B89" s="18"/>
      <c r="C89" s="3"/>
      <c r="D89" s="5"/>
      <c r="E89" s="3"/>
      <c r="F89" s="3"/>
      <c r="G89" s="3"/>
      <c r="H89" s="3"/>
      <c r="I89" s="3"/>
      <c r="J89" s="5"/>
      <c r="K89" s="23"/>
      <c r="L89" s="3"/>
      <c r="M89" s="3"/>
      <c r="N89" s="3"/>
      <c r="O89" s="13"/>
    </row>
    <row r="90" spans="1:15" ht="15" x14ac:dyDescent="0.2">
      <c r="A90" s="3"/>
      <c r="B90" s="19"/>
      <c r="C90" s="5"/>
      <c r="D90" s="3"/>
      <c r="E90" s="3"/>
      <c r="F90" s="3"/>
      <c r="G90" s="3"/>
      <c r="H90" s="3"/>
      <c r="I90" s="3"/>
      <c r="J90" s="3"/>
      <c r="K90" s="23"/>
      <c r="L90" s="3"/>
      <c r="M90" s="3"/>
      <c r="N90" s="3"/>
      <c r="O90" s="13"/>
    </row>
    <row r="91" spans="1:15" ht="15" x14ac:dyDescent="0.2">
      <c r="A91" s="3"/>
      <c r="B91" s="20"/>
      <c r="C91" s="3"/>
      <c r="D91" s="3"/>
      <c r="E91" s="5"/>
      <c r="F91" s="21"/>
      <c r="G91" s="3"/>
      <c r="H91" s="3"/>
      <c r="I91" s="3"/>
      <c r="J91" s="3"/>
      <c r="K91" s="23"/>
      <c r="L91" s="3"/>
      <c r="M91" s="3"/>
      <c r="N91" s="3"/>
      <c r="O91" s="13"/>
    </row>
    <row r="92" spans="1:15" ht="15" x14ac:dyDescent="0.2">
      <c r="A92" s="3"/>
      <c r="B92" s="19"/>
      <c r="C92" s="3"/>
      <c r="D92" s="3"/>
      <c r="E92" s="3"/>
      <c r="F92" s="8"/>
      <c r="G92" s="5"/>
      <c r="H92" s="5"/>
      <c r="I92" s="5"/>
      <c r="J92" s="5"/>
      <c r="K92" s="23"/>
      <c r="L92" s="3"/>
      <c r="M92" s="5"/>
      <c r="N92" s="5"/>
      <c r="O92" s="13"/>
    </row>
    <row r="93" spans="1:15" ht="15" x14ac:dyDescent="0.2">
      <c r="A93" s="3"/>
      <c r="B93" s="19"/>
      <c r="C93" s="3"/>
      <c r="D93" s="3"/>
      <c r="E93" s="5"/>
      <c r="F93" s="8"/>
      <c r="G93" s="3"/>
      <c r="H93" s="3"/>
      <c r="I93" s="3"/>
      <c r="J93" s="3"/>
      <c r="K93" s="24"/>
      <c r="L93" s="3"/>
      <c r="M93" s="3"/>
      <c r="N93" s="3"/>
      <c r="O93" s="13"/>
    </row>
    <row r="94" spans="1:15" ht="15" x14ac:dyDescent="0.2">
      <c r="A94" s="3"/>
      <c r="B94" s="20"/>
      <c r="C94" s="3"/>
      <c r="D94" s="3"/>
      <c r="E94" s="5"/>
      <c r="F94" s="8"/>
      <c r="G94" s="3"/>
      <c r="H94" s="3"/>
      <c r="I94" s="3"/>
      <c r="J94" s="3"/>
      <c r="K94" s="24"/>
      <c r="L94" s="3"/>
      <c r="M94" s="3"/>
      <c r="N94" s="3"/>
      <c r="O94" s="13"/>
    </row>
    <row r="95" spans="1:15" ht="15" x14ac:dyDescent="0.2">
      <c r="A95" s="3"/>
      <c r="B95" s="19"/>
      <c r="C95" s="3"/>
      <c r="D95" s="3"/>
      <c r="E95" s="5"/>
      <c r="F95" s="5"/>
      <c r="G95" s="5"/>
      <c r="H95" s="3"/>
      <c r="I95" s="3"/>
      <c r="J95" s="3"/>
      <c r="K95" s="24"/>
      <c r="L95" s="5"/>
      <c r="M95" s="5"/>
      <c r="N95" s="3"/>
      <c r="O95" s="13"/>
    </row>
    <row r="96" spans="1:15" ht="15" x14ac:dyDescent="0.2">
      <c r="A96" s="3"/>
      <c r="B96" s="19"/>
      <c r="C96" s="3"/>
      <c r="D96" s="3"/>
      <c r="E96" s="5"/>
      <c r="F96" s="3"/>
      <c r="G96" s="3"/>
      <c r="H96" s="3"/>
      <c r="I96" s="3"/>
      <c r="J96" s="3"/>
      <c r="K96" s="24"/>
      <c r="L96" s="3"/>
      <c r="M96" s="3"/>
      <c r="N96" s="3"/>
      <c r="O96" s="13"/>
    </row>
    <row r="97" spans="1:15" ht="15" x14ac:dyDescent="0.2">
      <c r="A97" s="3"/>
      <c r="B97" s="19"/>
      <c r="C97" s="5"/>
      <c r="D97" s="5"/>
      <c r="E97" s="5"/>
      <c r="F97" s="5"/>
      <c r="G97" s="5"/>
      <c r="H97" s="5"/>
      <c r="I97" s="5"/>
      <c r="J97" s="5"/>
      <c r="K97" s="24"/>
      <c r="L97" s="5"/>
      <c r="M97" s="5"/>
      <c r="N97" s="5"/>
      <c r="O97" s="13"/>
    </row>
    <row r="98" spans="1:15" ht="15" x14ac:dyDescent="0.2">
      <c r="A98" s="9"/>
      <c r="B98" s="19"/>
      <c r="C98" s="5"/>
      <c r="D98" s="3"/>
      <c r="E98" s="5"/>
      <c r="F98" s="3"/>
      <c r="G98" s="5"/>
      <c r="H98" s="3"/>
      <c r="I98" s="5"/>
      <c r="J98" s="3"/>
      <c r="K98" s="24"/>
      <c r="L98" s="3"/>
      <c r="M98" s="5"/>
      <c r="N98" s="3"/>
      <c r="O98" s="13"/>
    </row>
    <row r="99" spans="1:15" ht="15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spans="1:15" ht="15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 spans="1:15" ht="15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 spans="1:15" ht="15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 spans="1:15" ht="15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  <row r="104" spans="1:15" ht="15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</sheetData>
  <mergeCells count="6">
    <mergeCell ref="A85:N85"/>
    <mergeCell ref="A7:N7"/>
    <mergeCell ref="C8:N8"/>
    <mergeCell ref="A9:B9"/>
    <mergeCell ref="A51:N51"/>
    <mergeCell ref="A68:N68"/>
  </mergeCells>
  <pageMargins left="0.47" right="0.51" top="0.59" bottom="1" header="0" footer="0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76F1-EE8C-4E3B-AFEF-6F1E4156E611}">
  <sheetPr>
    <tabColor theme="8" tint="-0.249977111117893"/>
  </sheetPr>
  <dimension ref="A1:O58"/>
  <sheetViews>
    <sheetView topLeftCell="A7" zoomScale="70" workbookViewId="0">
      <selection activeCell="A7" sqref="A7"/>
    </sheetView>
    <sheetView zoomScale="53" workbookViewId="1">
      <selection activeCell="B21" sqref="B21:G21"/>
    </sheetView>
  </sheetViews>
  <sheetFormatPr baseColWidth="10" defaultColWidth="11.42578125" defaultRowHeight="12.75" x14ac:dyDescent="0.2"/>
  <cols>
    <col min="1" max="1" width="99.5703125" customWidth="1"/>
    <col min="2" max="2" width="16.28515625" customWidth="1"/>
    <col min="3" max="3" width="14" customWidth="1"/>
    <col min="4" max="4" width="16.140625" customWidth="1"/>
    <col min="5" max="5" width="18.140625" customWidth="1"/>
    <col min="6" max="6" width="20.42578125" customWidth="1"/>
    <col min="7" max="7" width="18.140625" customWidth="1"/>
    <col min="8" max="8" width="14.42578125" bestFit="1" customWidth="1"/>
    <col min="9" max="9" width="16" bestFit="1" customWidth="1"/>
    <col min="10" max="10" width="14.42578125" bestFit="1" customWidth="1"/>
    <col min="11" max="11" width="13.28515625" bestFit="1" customWidth="1"/>
    <col min="13" max="13" width="11.7109375" bestFit="1" customWidth="1"/>
  </cols>
  <sheetData>
    <row r="1" spans="1:15" ht="20.25" x14ac:dyDescent="0.3">
      <c r="A1" s="164" t="s">
        <v>0</v>
      </c>
    </row>
    <row r="3" spans="1:15" ht="18" x14ac:dyDescent="0.25">
      <c r="A3" s="47" t="s">
        <v>13</v>
      </c>
    </row>
    <row r="4" spans="1:15" ht="18" x14ac:dyDescent="0.25">
      <c r="A4" s="47"/>
    </row>
    <row r="5" spans="1:15" ht="15.75" x14ac:dyDescent="0.25">
      <c r="A5" s="2" t="s">
        <v>14</v>
      </c>
      <c r="B5" s="2"/>
      <c r="C5" s="2"/>
      <c r="D5" s="2"/>
      <c r="E5" s="2"/>
      <c r="F5" s="2"/>
      <c r="G5" s="2"/>
    </row>
    <row r="6" spans="1:15" ht="15.75" x14ac:dyDescent="0.25">
      <c r="A6" s="2" t="s">
        <v>15</v>
      </c>
      <c r="B6" s="2"/>
      <c r="C6" s="2"/>
      <c r="D6" s="2"/>
      <c r="E6" s="2"/>
      <c r="F6" s="2"/>
      <c r="G6" s="2"/>
    </row>
    <row r="7" spans="1:15" ht="15.75" x14ac:dyDescent="0.25">
      <c r="A7" s="2" t="s">
        <v>16</v>
      </c>
      <c r="B7" s="2"/>
      <c r="C7" s="368"/>
      <c r="D7" s="368"/>
      <c r="E7" s="368"/>
      <c r="F7" s="165"/>
      <c r="G7" s="166"/>
    </row>
    <row r="8" spans="1:15" ht="15" x14ac:dyDescent="0.2">
      <c r="A8" s="13"/>
      <c r="B8" s="13"/>
      <c r="C8" s="13"/>
      <c r="D8" s="13"/>
      <c r="E8" s="13"/>
      <c r="F8" s="13"/>
      <c r="G8" s="13"/>
    </row>
    <row r="9" spans="1:15" ht="15.75" x14ac:dyDescent="0.25">
      <c r="A9" s="426" t="s">
        <v>17</v>
      </c>
      <c r="B9" s="426"/>
      <c r="C9" s="426"/>
      <c r="D9" s="426"/>
      <c r="E9" s="426"/>
      <c r="F9" s="426"/>
      <c r="G9" s="426"/>
    </row>
    <row r="10" spans="1:15" ht="15.75" x14ac:dyDescent="0.25">
      <c r="A10" s="627" t="s">
        <v>18</v>
      </c>
      <c r="B10" s="628" t="s">
        <v>19</v>
      </c>
      <c r="C10" s="629" t="s">
        <v>20</v>
      </c>
      <c r="D10" s="629" t="s">
        <v>21</v>
      </c>
      <c r="E10" s="630" t="s">
        <v>22</v>
      </c>
      <c r="F10" s="519" t="s">
        <v>23</v>
      </c>
      <c r="G10" s="521"/>
      <c r="J10" s="208" t="s">
        <v>24</v>
      </c>
      <c r="K10" s="204" t="s">
        <v>25</v>
      </c>
      <c r="L10" s="204" t="s">
        <v>26</v>
      </c>
      <c r="M10" s="204" t="s">
        <v>27</v>
      </c>
      <c r="N10" s="204" t="s">
        <v>26</v>
      </c>
      <c r="O10" s="210" t="s">
        <v>28</v>
      </c>
    </row>
    <row r="11" spans="1:15" ht="15.75" x14ac:dyDescent="0.25">
      <c r="A11" s="631"/>
      <c r="B11" s="632" t="s">
        <v>29</v>
      </c>
      <c r="C11" s="633"/>
      <c r="D11" s="633" t="s">
        <v>30</v>
      </c>
      <c r="E11" s="634" t="s">
        <v>28</v>
      </c>
      <c r="F11" s="518" t="s">
        <v>31</v>
      </c>
      <c r="G11" s="518" t="s">
        <v>32</v>
      </c>
      <c r="I11" s="208" t="s">
        <v>33</v>
      </c>
      <c r="J11" s="207">
        <v>28600</v>
      </c>
      <c r="K11" s="207">
        <v>0</v>
      </c>
      <c r="L11" s="206">
        <v>0</v>
      </c>
      <c r="M11" s="207">
        <f>J11</f>
        <v>28600</v>
      </c>
      <c r="N11" s="206">
        <v>1</v>
      </c>
      <c r="O11" s="206">
        <v>1</v>
      </c>
    </row>
    <row r="12" spans="1:15" ht="15.75" x14ac:dyDescent="0.25">
      <c r="A12" s="635" t="s">
        <v>34</v>
      </c>
      <c r="B12" s="639"/>
      <c r="C12" s="639"/>
      <c r="D12" s="639"/>
      <c r="E12" s="639"/>
      <c r="F12" s="639"/>
      <c r="G12" s="639"/>
      <c r="I12" s="209" t="s">
        <v>35</v>
      </c>
      <c r="J12" s="207">
        <v>759000</v>
      </c>
      <c r="K12" s="207">
        <v>759000</v>
      </c>
      <c r="L12" s="206">
        <v>1</v>
      </c>
      <c r="M12" s="205"/>
      <c r="N12" s="206">
        <v>0</v>
      </c>
      <c r="O12" s="206">
        <v>1</v>
      </c>
    </row>
    <row r="13" spans="1:15" ht="15" x14ac:dyDescent="0.2">
      <c r="A13" s="23" t="s">
        <v>36</v>
      </c>
      <c r="B13" s="99" t="s">
        <v>37</v>
      </c>
      <c r="C13" s="99">
        <v>120</v>
      </c>
      <c r="D13" s="126">
        <f>E13/C13</f>
        <v>50</v>
      </c>
      <c r="E13" s="126">
        <v>6000</v>
      </c>
      <c r="F13" s="167">
        <v>0</v>
      </c>
      <c r="G13" s="126">
        <f>E13</f>
        <v>6000</v>
      </c>
      <c r="I13" s="209" t="s">
        <v>38</v>
      </c>
      <c r="J13" s="207">
        <v>40000</v>
      </c>
      <c r="K13" s="207">
        <v>40000</v>
      </c>
      <c r="L13" s="206">
        <v>1</v>
      </c>
      <c r="M13" s="205"/>
      <c r="N13" s="206">
        <v>0</v>
      </c>
      <c r="O13" s="206">
        <v>1</v>
      </c>
    </row>
    <row r="14" spans="1:15" ht="15" x14ac:dyDescent="0.2">
      <c r="A14" s="23" t="s">
        <v>39</v>
      </c>
      <c r="B14" s="99" t="s">
        <v>37</v>
      </c>
      <c r="C14" s="99">
        <v>10</v>
      </c>
      <c r="D14" s="126">
        <f t="shared" ref="D14:D19" si="0">E14/C14</f>
        <v>60</v>
      </c>
      <c r="E14" s="126">
        <v>600</v>
      </c>
      <c r="F14" s="167">
        <v>0</v>
      </c>
      <c r="G14" s="126">
        <f t="shared" ref="G14:G19" si="1">E14</f>
        <v>600</v>
      </c>
      <c r="I14" s="212"/>
      <c r="J14" s="211"/>
      <c r="K14" s="211"/>
      <c r="L14" s="213"/>
      <c r="N14" s="213"/>
      <c r="O14" s="213"/>
    </row>
    <row r="15" spans="1:15" ht="15" x14ac:dyDescent="0.2">
      <c r="A15" s="23" t="s">
        <v>40</v>
      </c>
      <c r="B15" s="99" t="s">
        <v>37</v>
      </c>
      <c r="C15" s="99">
        <v>2</v>
      </c>
      <c r="D15" s="126">
        <f t="shared" si="0"/>
        <v>800</v>
      </c>
      <c r="E15" s="126">
        <v>1600</v>
      </c>
      <c r="F15" s="167">
        <v>0</v>
      </c>
      <c r="G15" s="126">
        <f t="shared" si="1"/>
        <v>1600</v>
      </c>
      <c r="K15" s="211">
        <f>SUM(K11:K13)</f>
        <v>799000</v>
      </c>
      <c r="M15" s="211">
        <f>SUM(M11:M13)</f>
        <v>28600</v>
      </c>
    </row>
    <row r="16" spans="1:15" ht="15" x14ac:dyDescent="0.2">
      <c r="A16" s="23" t="s">
        <v>41</v>
      </c>
      <c r="B16" s="99" t="s">
        <v>37</v>
      </c>
      <c r="C16" s="99">
        <v>1</v>
      </c>
      <c r="D16" s="126">
        <f t="shared" si="0"/>
        <v>5000</v>
      </c>
      <c r="E16" s="126">
        <v>5000</v>
      </c>
      <c r="F16" s="167">
        <v>0</v>
      </c>
      <c r="G16" s="126">
        <f t="shared" si="1"/>
        <v>5000</v>
      </c>
    </row>
    <row r="17" spans="1:9" ht="15" x14ac:dyDescent="0.2">
      <c r="A17" s="23" t="s">
        <v>42</v>
      </c>
      <c r="B17" s="99" t="s">
        <v>43</v>
      </c>
      <c r="C17" s="99">
        <v>500</v>
      </c>
      <c r="D17" s="126">
        <f t="shared" si="0"/>
        <v>5</v>
      </c>
      <c r="E17" s="126">
        <v>2500</v>
      </c>
      <c r="F17" s="167">
        <v>0</v>
      </c>
      <c r="G17" s="126">
        <f t="shared" si="1"/>
        <v>2500</v>
      </c>
    </row>
    <row r="18" spans="1:9" ht="15" x14ac:dyDescent="0.2">
      <c r="A18" s="23" t="s">
        <v>44</v>
      </c>
      <c r="B18" s="99" t="s">
        <v>45</v>
      </c>
      <c r="C18" s="99">
        <v>1000</v>
      </c>
      <c r="D18" s="126">
        <f t="shared" si="0"/>
        <v>12.5</v>
      </c>
      <c r="E18" s="126">
        <v>12500</v>
      </c>
      <c r="F18" s="167">
        <v>0</v>
      </c>
      <c r="G18" s="126">
        <f t="shared" si="1"/>
        <v>12500</v>
      </c>
    </row>
    <row r="19" spans="1:9" ht="15" x14ac:dyDescent="0.2">
      <c r="A19" s="23" t="s">
        <v>46</v>
      </c>
      <c r="B19" s="99" t="s">
        <v>37</v>
      </c>
      <c r="C19" s="99">
        <v>1</v>
      </c>
      <c r="D19" s="126">
        <f t="shared" si="0"/>
        <v>400</v>
      </c>
      <c r="E19" s="126">
        <v>400</v>
      </c>
      <c r="F19" s="167">
        <v>0</v>
      </c>
      <c r="G19" s="126">
        <f t="shared" si="1"/>
        <v>400</v>
      </c>
    </row>
    <row r="20" spans="1:9" ht="15" x14ac:dyDescent="0.2">
      <c r="A20" s="23"/>
      <c r="B20" s="99"/>
      <c r="C20" s="99"/>
      <c r="D20" s="126"/>
      <c r="E20" s="126"/>
      <c r="F20" s="126"/>
      <c r="G20" s="3"/>
    </row>
    <row r="21" spans="1:9" ht="15.75" x14ac:dyDescent="0.25">
      <c r="A21" s="636" t="s">
        <v>47</v>
      </c>
      <c r="B21" s="636"/>
      <c r="C21" s="636"/>
      <c r="D21" s="636"/>
      <c r="E21" s="636"/>
      <c r="F21" s="636"/>
      <c r="G21" s="636"/>
    </row>
    <row r="22" spans="1:9" ht="15" x14ac:dyDescent="0.2">
      <c r="A22" s="200" t="s">
        <v>48</v>
      </c>
      <c r="B22" s="369" t="s">
        <v>49</v>
      </c>
      <c r="C22" s="99">
        <v>1</v>
      </c>
      <c r="D22" s="126">
        <v>50000</v>
      </c>
      <c r="E22" s="126">
        <f>D22*C22</f>
        <v>50000</v>
      </c>
      <c r="F22" s="126">
        <f>E22</f>
        <v>50000</v>
      </c>
      <c r="G22" s="167">
        <v>0</v>
      </c>
    </row>
    <row r="23" spans="1:9" ht="15" x14ac:dyDescent="0.2">
      <c r="A23" s="200" t="s">
        <v>50</v>
      </c>
      <c r="B23" s="369" t="s">
        <v>49</v>
      </c>
      <c r="C23" s="99">
        <v>1</v>
      </c>
      <c r="D23" s="126">
        <v>169000</v>
      </c>
      <c r="E23" s="126">
        <f t="shared" ref="E23:E29" si="2">D23*C23</f>
        <v>169000</v>
      </c>
      <c r="F23" s="126">
        <f t="shared" ref="F23:F29" si="3">E23</f>
        <v>169000</v>
      </c>
      <c r="G23" s="167">
        <v>0</v>
      </c>
    </row>
    <row r="24" spans="1:9" ht="15" x14ac:dyDescent="0.2">
      <c r="A24" s="200" t="s">
        <v>51</v>
      </c>
      <c r="B24" s="369" t="s">
        <v>49</v>
      </c>
      <c r="C24" s="99">
        <v>1</v>
      </c>
      <c r="D24" s="126">
        <v>220000</v>
      </c>
      <c r="E24" s="126">
        <f t="shared" si="2"/>
        <v>220000</v>
      </c>
      <c r="F24" s="126">
        <f t="shared" si="3"/>
        <v>220000</v>
      </c>
      <c r="G24" s="167">
        <v>0</v>
      </c>
    </row>
    <row r="25" spans="1:9" ht="15" x14ac:dyDescent="0.2">
      <c r="A25" s="200" t="s">
        <v>52</v>
      </c>
      <c r="B25" s="369" t="s">
        <v>49</v>
      </c>
      <c r="C25" s="99">
        <v>1</v>
      </c>
      <c r="D25" s="126">
        <v>50000</v>
      </c>
      <c r="E25" s="126">
        <f t="shared" si="2"/>
        <v>50000</v>
      </c>
      <c r="F25" s="126">
        <f t="shared" si="3"/>
        <v>50000</v>
      </c>
      <c r="G25" s="167">
        <v>0</v>
      </c>
    </row>
    <row r="26" spans="1:9" ht="15" x14ac:dyDescent="0.2">
      <c r="A26" s="200" t="s">
        <v>53</v>
      </c>
      <c r="B26" s="369" t="s">
        <v>49</v>
      </c>
      <c r="C26" s="99">
        <v>1</v>
      </c>
      <c r="D26" s="126">
        <v>125000</v>
      </c>
      <c r="E26" s="126">
        <f t="shared" si="2"/>
        <v>125000</v>
      </c>
      <c r="F26" s="126">
        <f t="shared" si="3"/>
        <v>125000</v>
      </c>
      <c r="G26" s="167">
        <v>0</v>
      </c>
    </row>
    <row r="27" spans="1:9" ht="15" x14ac:dyDescent="0.2">
      <c r="A27" s="200" t="s">
        <v>54</v>
      </c>
      <c r="B27" s="369" t="s">
        <v>49</v>
      </c>
      <c r="C27" s="99">
        <v>1</v>
      </c>
      <c r="D27" s="126">
        <v>95000</v>
      </c>
      <c r="E27" s="126">
        <f t="shared" si="2"/>
        <v>95000</v>
      </c>
      <c r="F27" s="126">
        <f t="shared" si="3"/>
        <v>95000</v>
      </c>
      <c r="G27" s="167">
        <v>0</v>
      </c>
    </row>
    <row r="28" spans="1:9" ht="15" x14ac:dyDescent="0.2">
      <c r="A28" s="200" t="s">
        <v>55</v>
      </c>
      <c r="B28" s="369" t="s">
        <v>49</v>
      </c>
      <c r="C28" s="99">
        <v>1</v>
      </c>
      <c r="D28" s="126">
        <v>30000</v>
      </c>
      <c r="E28" s="126">
        <f t="shared" si="2"/>
        <v>30000</v>
      </c>
      <c r="F28" s="126">
        <f t="shared" si="3"/>
        <v>30000</v>
      </c>
      <c r="G28" s="167">
        <v>0</v>
      </c>
    </row>
    <row r="29" spans="1:9" ht="15" x14ac:dyDescent="0.2">
      <c r="A29" s="200" t="s">
        <v>56</v>
      </c>
      <c r="B29" s="369" t="s">
        <v>49</v>
      </c>
      <c r="C29" s="99">
        <v>1</v>
      </c>
      <c r="D29" s="126">
        <v>20000</v>
      </c>
      <c r="E29" s="126">
        <f t="shared" si="2"/>
        <v>20000</v>
      </c>
      <c r="F29" s="126">
        <f t="shared" si="3"/>
        <v>20000</v>
      </c>
      <c r="G29" s="167">
        <v>0</v>
      </c>
    </row>
    <row r="30" spans="1:9" ht="15.75" x14ac:dyDescent="0.25">
      <c r="A30" s="14" t="s">
        <v>57</v>
      </c>
      <c r="B30" s="99"/>
      <c r="C30" s="99"/>
      <c r="D30" s="174"/>
      <c r="E30" s="128">
        <f>SUM(E12:E29)</f>
        <v>787600</v>
      </c>
      <c r="F30" s="128">
        <f>SUM(F22:F29)</f>
        <v>759000</v>
      </c>
      <c r="G30" s="128">
        <f>SUM(G13:G28)</f>
        <v>28600</v>
      </c>
      <c r="H30" s="168"/>
      <c r="I30" s="168"/>
    </row>
    <row r="31" spans="1:9" ht="15.75" x14ac:dyDescent="0.25">
      <c r="A31" s="637" t="s">
        <v>58</v>
      </c>
      <c r="B31" s="638"/>
      <c r="C31" s="639"/>
      <c r="D31" s="640"/>
      <c r="E31" s="641"/>
      <c r="F31" s="639"/>
      <c r="G31" s="639"/>
    </row>
    <row r="32" spans="1:9" ht="12.75" customHeight="1" x14ac:dyDescent="0.25">
      <c r="A32" s="169"/>
      <c r="B32" s="170"/>
      <c r="C32" s="99"/>
      <c r="D32" s="171"/>
      <c r="E32" s="171"/>
      <c r="F32" s="126"/>
      <c r="G32" s="370"/>
      <c r="I32" s="82"/>
    </row>
    <row r="33" spans="1:10" ht="12.75" customHeight="1" x14ac:dyDescent="0.2">
      <c r="A33" s="172"/>
      <c r="B33" s="173"/>
      <c r="C33" s="99"/>
      <c r="D33" s="171"/>
      <c r="E33" s="171"/>
      <c r="F33" s="126"/>
      <c r="G33" s="174"/>
      <c r="I33" s="82"/>
    </row>
    <row r="34" spans="1:10" ht="15" x14ac:dyDescent="0.2">
      <c r="A34" s="175" t="s">
        <v>59</v>
      </c>
      <c r="B34" s="170" t="s">
        <v>60</v>
      </c>
      <c r="C34" s="99">
        <v>1</v>
      </c>
      <c r="D34" s="171">
        <v>40000</v>
      </c>
      <c r="E34" s="171">
        <v>40000</v>
      </c>
      <c r="F34" s="126">
        <v>40000</v>
      </c>
      <c r="G34" s="174">
        <v>0</v>
      </c>
      <c r="I34" s="82"/>
      <c r="J34" s="82"/>
    </row>
    <row r="35" spans="1:10" ht="12.75" customHeight="1" x14ac:dyDescent="0.25">
      <c r="A35" s="176"/>
      <c r="B35" s="173"/>
      <c r="C35" s="177"/>
      <c r="D35" s="178"/>
      <c r="E35" s="178"/>
      <c r="F35" s="178"/>
      <c r="G35" s="179"/>
    </row>
    <row r="36" spans="1:10" ht="12.75" customHeight="1" x14ac:dyDescent="0.25">
      <c r="A36" s="181" t="s">
        <v>61</v>
      </c>
      <c r="B36" s="182"/>
      <c r="C36" s="182"/>
      <c r="D36" s="183"/>
      <c r="E36" s="184">
        <f>E34+E30</f>
        <v>827600</v>
      </c>
      <c r="F36" s="184">
        <f>F34+F30</f>
        <v>799000</v>
      </c>
      <c r="G36" s="185">
        <f>+G34+G30</f>
        <v>28600</v>
      </c>
      <c r="I36" s="82"/>
    </row>
    <row r="37" spans="1:10" ht="12.75" customHeight="1" x14ac:dyDescent="0.25">
      <c r="A37" s="186" t="s">
        <v>62</v>
      </c>
      <c r="B37" s="186"/>
      <c r="C37" s="186"/>
      <c r="D37" s="186"/>
      <c r="E37" s="187">
        <f>+E36/E36</f>
        <v>1</v>
      </c>
      <c r="F37" s="214">
        <f>+F36/E36</f>
        <v>0.96544224262928946</v>
      </c>
      <c r="G37" s="214">
        <f>G36/E36</f>
        <v>3.4557757370710492E-2</v>
      </c>
    </row>
    <row r="38" spans="1:10" x14ac:dyDescent="0.2">
      <c r="H38" s="82"/>
      <c r="I38" s="168"/>
    </row>
    <row r="39" spans="1:10" x14ac:dyDescent="0.2">
      <c r="H39" s="168"/>
      <c r="I39" s="82"/>
    </row>
    <row r="40" spans="1:10" ht="15" x14ac:dyDescent="0.2">
      <c r="A40" s="97"/>
      <c r="B40" s="13"/>
      <c r="C40" s="13"/>
      <c r="D40" s="13"/>
      <c r="E40" s="188"/>
      <c r="F40" s="13"/>
      <c r="G40" s="97"/>
    </row>
    <row r="41" spans="1:10" x14ac:dyDescent="0.2">
      <c r="A41" s="160"/>
      <c r="E41" s="82"/>
      <c r="G41" s="160"/>
      <c r="H41" s="168"/>
    </row>
    <row r="42" spans="1:10" x14ac:dyDescent="0.2">
      <c r="A42" s="189" t="s">
        <v>63</v>
      </c>
    </row>
    <row r="43" spans="1:10" x14ac:dyDescent="0.2">
      <c r="A43" s="160"/>
      <c r="F43" s="160"/>
    </row>
    <row r="44" spans="1:10" x14ac:dyDescent="0.2">
      <c r="A44" s="82"/>
      <c r="F44" s="160"/>
    </row>
    <row r="46" spans="1:10" x14ac:dyDescent="0.2">
      <c r="A46" s="82"/>
      <c r="E46" s="160"/>
      <c r="G46" s="160"/>
    </row>
    <row r="50" spans="5:5" x14ac:dyDescent="0.2">
      <c r="E50" s="82"/>
    </row>
    <row r="54" spans="5:5" x14ac:dyDescent="0.2">
      <c r="E54" s="160"/>
    </row>
    <row r="58" spans="5:5" x14ac:dyDescent="0.2">
      <c r="E58" s="82"/>
    </row>
  </sheetData>
  <mergeCells count="3">
    <mergeCell ref="A9:G9"/>
    <mergeCell ref="F10:G10"/>
    <mergeCell ref="A31:B31"/>
  </mergeCells>
  <pageMargins left="0.45" right="0.4" top="0.47" bottom="0.62" header="0" footer="0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BBC5-F741-46B5-A938-18343A94DB70}">
  <dimension ref="A1:R82"/>
  <sheetViews>
    <sheetView topLeftCell="A14" zoomScale="70" zoomScaleNormal="70" workbookViewId="0">
      <selection activeCell="B36" sqref="A36:O39"/>
    </sheetView>
    <sheetView zoomScale="32" workbookViewId="1">
      <selection activeCell="A61" sqref="A61:XFD61"/>
    </sheetView>
  </sheetViews>
  <sheetFormatPr baseColWidth="10" defaultColWidth="11.42578125" defaultRowHeight="12.75" x14ac:dyDescent="0.2"/>
  <cols>
    <col min="1" max="1" width="24.140625" customWidth="1"/>
    <col min="2" max="2" width="40.28515625" customWidth="1"/>
    <col min="3" max="3" width="20" customWidth="1"/>
    <col min="4" max="4" width="17.7109375" customWidth="1"/>
    <col min="5" max="6" width="17.85546875" customWidth="1"/>
    <col min="7" max="7" width="17" customWidth="1"/>
    <col min="8" max="11" width="17.28515625" bestFit="1" customWidth="1"/>
    <col min="12" max="12" width="18.140625" style="330" bestFit="1" customWidth="1"/>
    <col min="13" max="14" width="17.28515625" bestFit="1" customWidth="1"/>
    <col min="15" max="15" width="20.140625" bestFit="1" customWidth="1"/>
    <col min="16" max="16" width="13.28515625" bestFit="1" customWidth="1"/>
    <col min="17" max="17" width="24.140625" bestFit="1" customWidth="1"/>
    <col min="18" max="18" width="11.7109375" bestFit="1" customWidth="1"/>
  </cols>
  <sheetData>
    <row r="1" spans="1:17" ht="18" x14ac:dyDescent="0.25">
      <c r="A1" s="47" t="s">
        <v>74</v>
      </c>
    </row>
    <row r="3" spans="1:17" ht="18" x14ac:dyDescent="0.25">
      <c r="A3" s="47" t="s">
        <v>75</v>
      </c>
    </row>
    <row r="5" spans="1:17" ht="15.75" x14ac:dyDescent="0.25">
      <c r="A5" s="2" t="s">
        <v>65</v>
      </c>
      <c r="B5" s="2"/>
      <c r="C5" s="2"/>
      <c r="D5" s="2"/>
      <c r="E5" s="2"/>
      <c r="F5" s="2"/>
      <c r="G5" s="141"/>
      <c r="H5" s="142"/>
      <c r="I5" s="142"/>
      <c r="J5" s="142"/>
      <c r="K5" s="142"/>
      <c r="L5" s="331"/>
      <c r="M5" s="142"/>
      <c r="N5" s="142"/>
      <c r="O5" s="142"/>
    </row>
    <row r="6" spans="1:17" ht="15.75" x14ac:dyDescent="0.25">
      <c r="A6" s="2" t="s">
        <v>66</v>
      </c>
      <c r="B6" s="2"/>
      <c r="C6" s="2"/>
      <c r="D6" s="2"/>
      <c r="E6" s="2"/>
      <c r="F6" s="2"/>
      <c r="G6" s="141"/>
      <c r="H6" s="142"/>
      <c r="I6" s="142"/>
      <c r="J6" s="142"/>
      <c r="K6" s="142"/>
      <c r="L6" s="331"/>
      <c r="M6" s="142"/>
      <c r="N6" s="142"/>
      <c r="O6" s="142"/>
    </row>
    <row r="7" spans="1:17" ht="15.75" x14ac:dyDescent="0.25">
      <c r="A7" s="2" t="s">
        <v>67</v>
      </c>
      <c r="B7" s="2"/>
      <c r="C7" s="368"/>
      <c r="D7" s="368"/>
      <c r="E7" s="2"/>
      <c r="F7" s="368"/>
      <c r="G7" s="143"/>
      <c r="H7" s="142"/>
      <c r="I7" s="142"/>
      <c r="J7" s="142"/>
      <c r="K7" s="142"/>
      <c r="L7" s="331"/>
      <c r="M7" s="142"/>
      <c r="N7" s="142"/>
      <c r="O7" s="142"/>
    </row>
    <row r="8" spans="1:17" ht="15.75" x14ac:dyDescent="0.25">
      <c r="A8" s="2"/>
      <c r="B8" s="2"/>
      <c r="C8" s="368"/>
      <c r="D8" s="368"/>
      <c r="E8" s="2"/>
      <c r="F8" s="368"/>
      <c r="G8" s="143"/>
      <c r="H8" s="142"/>
      <c r="I8" s="142"/>
      <c r="J8" s="142"/>
      <c r="K8" s="142"/>
      <c r="L8" s="331"/>
      <c r="M8" s="142"/>
      <c r="N8" s="142"/>
      <c r="O8" s="142"/>
    </row>
    <row r="9" spans="1:17" ht="15.75" x14ac:dyDescent="0.25">
      <c r="A9" s="13"/>
      <c r="B9" s="2" t="s">
        <v>76</v>
      </c>
      <c r="C9" s="2"/>
      <c r="D9" s="13"/>
      <c r="E9" s="13"/>
      <c r="F9" s="2"/>
      <c r="G9" s="142"/>
      <c r="H9" s="142"/>
      <c r="I9" s="142"/>
      <c r="J9" s="142"/>
      <c r="K9" s="142"/>
      <c r="L9" s="331"/>
      <c r="M9" s="142"/>
      <c r="N9" s="142"/>
      <c r="O9" s="142"/>
    </row>
    <row r="10" spans="1:17" ht="15.75" x14ac:dyDescent="0.25">
      <c r="A10" s="617" t="s">
        <v>77</v>
      </c>
      <c r="B10" s="617"/>
      <c r="C10" s="617"/>
      <c r="D10" s="617"/>
      <c r="E10" s="617"/>
      <c r="F10" s="617"/>
      <c r="G10" s="617"/>
      <c r="H10" s="617"/>
      <c r="I10" s="617"/>
      <c r="J10" s="617"/>
      <c r="K10" s="617"/>
      <c r="L10" s="617"/>
      <c r="M10" s="617"/>
      <c r="N10" s="617"/>
      <c r="O10" s="618"/>
    </row>
    <row r="11" spans="1:17" ht="15.75" x14ac:dyDescent="0.25">
      <c r="A11" s="436" t="s">
        <v>78</v>
      </c>
      <c r="B11" s="437"/>
      <c r="C11" s="144" t="s">
        <v>79</v>
      </c>
      <c r="D11" s="144" t="s">
        <v>80</v>
      </c>
      <c r="E11" s="144" t="s">
        <v>81</v>
      </c>
      <c r="F11" s="144" t="s">
        <v>82</v>
      </c>
      <c r="G11" s="144" t="s">
        <v>83</v>
      </c>
      <c r="H11" s="144" t="s">
        <v>84</v>
      </c>
      <c r="I11" s="144" t="s">
        <v>85</v>
      </c>
      <c r="J11" s="144" t="s">
        <v>86</v>
      </c>
      <c r="K11" s="144" t="s">
        <v>87</v>
      </c>
      <c r="L11" s="332" t="s">
        <v>88</v>
      </c>
      <c r="M11" s="144" t="s">
        <v>89</v>
      </c>
      <c r="N11" s="144" t="s">
        <v>90</v>
      </c>
      <c r="O11" s="144" t="s">
        <v>28</v>
      </c>
    </row>
    <row r="12" spans="1:17" ht="15.75" x14ac:dyDescent="0.25">
      <c r="A12" s="438" t="s">
        <v>91</v>
      </c>
      <c r="B12" s="442"/>
      <c r="C12" s="148"/>
      <c r="D12" s="146"/>
      <c r="E12" s="145"/>
      <c r="F12" s="149"/>
      <c r="G12" s="146"/>
      <c r="H12" s="145"/>
      <c r="I12" s="149"/>
      <c r="J12" s="94"/>
      <c r="K12" s="146"/>
      <c r="L12" s="333"/>
      <c r="M12" s="146"/>
      <c r="N12" s="146"/>
      <c r="O12" s="146"/>
      <c r="Q12" s="536" t="s">
        <v>593</v>
      </c>
    </row>
    <row r="13" spans="1:17" ht="15.75" x14ac:dyDescent="0.25">
      <c r="A13" s="443" t="s">
        <v>92</v>
      </c>
      <c r="B13" s="444"/>
      <c r="C13" s="372">
        <f>INGRESOS!B17</f>
        <v>291523.05</v>
      </c>
      <c r="D13" s="372">
        <f>INGRESOS!C17</f>
        <v>291523.05</v>
      </c>
      <c r="E13" s="372">
        <f>INGRESOS!D17</f>
        <v>291523.05</v>
      </c>
      <c r="F13" s="372">
        <f>INGRESOS!E17</f>
        <v>291523.05</v>
      </c>
      <c r="G13" s="372">
        <f>INGRESOS!F17</f>
        <v>291523.05</v>
      </c>
      <c r="H13" s="372">
        <f>INGRESOS!G17</f>
        <v>291523.05</v>
      </c>
      <c r="I13" s="372">
        <f>INGRESOS!H17</f>
        <v>317760.12450000003</v>
      </c>
      <c r="J13" s="372">
        <f>INGRESOS!I17</f>
        <v>317760.12450000003</v>
      </c>
      <c r="K13" s="372">
        <f>INGRESOS!J17</f>
        <v>317760.12450000003</v>
      </c>
      <c r="L13" s="372">
        <f>INGRESOS!K17</f>
        <v>317760.12450000003</v>
      </c>
      <c r="M13" s="372">
        <f>INGRESOS!L17</f>
        <v>317760.12450000003</v>
      </c>
      <c r="N13" s="372">
        <f>INGRESOS!M17</f>
        <v>317760.12450000003</v>
      </c>
      <c r="O13" s="374">
        <f>SUM(C13:N13)</f>
        <v>3655699.0469999998</v>
      </c>
      <c r="Q13" s="535">
        <f>O13-O18</f>
        <v>1521321.2235271372</v>
      </c>
    </row>
    <row r="14" spans="1:17" ht="15.75" x14ac:dyDescent="0.25">
      <c r="A14" s="438" t="s">
        <v>93</v>
      </c>
      <c r="B14" s="439"/>
      <c r="C14" s="375"/>
      <c r="D14" s="375"/>
      <c r="E14" s="375"/>
      <c r="F14" s="375"/>
      <c r="G14" s="375"/>
      <c r="H14" s="375"/>
      <c r="I14" s="375"/>
      <c r="J14" s="375"/>
      <c r="K14" s="375"/>
      <c r="L14" s="376"/>
      <c r="M14" s="375"/>
      <c r="N14" s="375"/>
      <c r="O14" s="377"/>
      <c r="P14" s="160"/>
      <c r="Q14" s="535">
        <f>Q13-25000</f>
        <v>1496321.2235271372</v>
      </c>
    </row>
    <row r="15" spans="1:17" ht="15.75" x14ac:dyDescent="0.25">
      <c r="A15" s="150" t="s">
        <v>94</v>
      </c>
      <c r="B15" s="16"/>
      <c r="C15" s="375">
        <f>COSTOS!B29</f>
        <v>144198.12562273853</v>
      </c>
      <c r="D15" s="375">
        <f>COSTOS!C29</f>
        <v>144198.12562273853</v>
      </c>
      <c r="E15" s="375">
        <f>COSTOS!D29</f>
        <v>144198.12562273853</v>
      </c>
      <c r="F15" s="375">
        <f>COSTOS!E29</f>
        <v>144198.12562273853</v>
      </c>
      <c r="G15" s="375">
        <f>COSTOS!F29</f>
        <v>144198.12562273853</v>
      </c>
      <c r="H15" s="375">
        <f>COSTOS!G29</f>
        <v>144198.12562273853</v>
      </c>
      <c r="I15" s="375">
        <f>COSTOS!H29</f>
        <v>144198.12562273853</v>
      </c>
      <c r="J15" s="375">
        <f>COSTOS!I29</f>
        <v>144198.12562273853</v>
      </c>
      <c r="K15" s="375">
        <f>COSTOS!J29</f>
        <v>144198.12562273853</v>
      </c>
      <c r="L15" s="376">
        <f>COSTOS!K29</f>
        <v>144198.12562273853</v>
      </c>
      <c r="M15" s="375">
        <f>COSTOS!L29</f>
        <v>144198.12562273853</v>
      </c>
      <c r="N15" s="375">
        <f>COSTOS!M29</f>
        <v>144198.12562273853</v>
      </c>
      <c r="O15" s="375">
        <f>SUM(C15:N15)</f>
        <v>1730377.5074728627</v>
      </c>
      <c r="P15" s="160"/>
      <c r="Q15" s="535">
        <f>Q14*0.1</f>
        <v>149632.12235271372</v>
      </c>
    </row>
    <row r="16" spans="1:17" ht="15.75" x14ac:dyDescent="0.25">
      <c r="A16" s="150" t="s">
        <v>95</v>
      </c>
      <c r="B16" s="16"/>
      <c r="C16" s="378">
        <f>COSTOS!B33</f>
        <v>33666.692999999999</v>
      </c>
      <c r="D16" s="378">
        <f>COSTOS!C33</f>
        <v>33666.692999999999</v>
      </c>
      <c r="E16" s="378">
        <f>COSTOS!D33</f>
        <v>33666.692999999999</v>
      </c>
      <c r="F16" s="378">
        <f>COSTOS!E33</f>
        <v>33666.692999999999</v>
      </c>
      <c r="G16" s="378">
        <f>COSTOS!F33</f>
        <v>33666.692999999999</v>
      </c>
      <c r="H16" s="378">
        <f>COSTOS!G33</f>
        <v>33666.692999999999</v>
      </c>
      <c r="I16" s="378">
        <f>COSTOS!H33</f>
        <v>33666.692999999999</v>
      </c>
      <c r="J16" s="378">
        <f>COSTOS!I33</f>
        <v>33666.692999999999</v>
      </c>
      <c r="K16" s="375">
        <f>COSTOS!J33</f>
        <v>33666.692999999999</v>
      </c>
      <c r="L16" s="376">
        <f>COSTOS!K33</f>
        <v>33666.692999999999</v>
      </c>
      <c r="M16" s="375">
        <f>COSTOS!L33</f>
        <v>33666.692999999999</v>
      </c>
      <c r="N16" s="375">
        <f>COSTOS!M33</f>
        <v>33666.692999999999</v>
      </c>
      <c r="O16" s="375">
        <f>SUM(C16:N16)</f>
        <v>404000.31599999988</v>
      </c>
      <c r="P16" s="160"/>
      <c r="Q16" s="535">
        <f>Q14*0.3</f>
        <v>448896.36705814116</v>
      </c>
    </row>
    <row r="17" spans="1:18" ht="15.75" x14ac:dyDescent="0.25">
      <c r="A17" s="14" t="s">
        <v>96</v>
      </c>
      <c r="B17" s="27"/>
      <c r="C17" s="379">
        <f>SUM(C15:C16)</f>
        <v>177864.81862273853</v>
      </c>
      <c r="D17" s="379">
        <f t="shared" ref="D17:N17" si="0">SUM(D15:D16)</f>
        <v>177864.81862273853</v>
      </c>
      <c r="E17" s="379">
        <f t="shared" si="0"/>
        <v>177864.81862273853</v>
      </c>
      <c r="F17" s="379">
        <f t="shared" si="0"/>
        <v>177864.81862273853</v>
      </c>
      <c r="G17" s="379">
        <f t="shared" si="0"/>
        <v>177864.81862273853</v>
      </c>
      <c r="H17" s="379">
        <f t="shared" si="0"/>
        <v>177864.81862273853</v>
      </c>
      <c r="I17" s="379">
        <f t="shared" si="0"/>
        <v>177864.81862273853</v>
      </c>
      <c r="J17" s="379">
        <f t="shared" si="0"/>
        <v>177864.81862273853</v>
      </c>
      <c r="K17" s="380">
        <f t="shared" si="0"/>
        <v>177864.81862273853</v>
      </c>
      <c r="L17" s="381">
        <f t="shared" si="0"/>
        <v>177864.81862273853</v>
      </c>
      <c r="M17" s="380">
        <f t="shared" si="0"/>
        <v>177864.81862273853</v>
      </c>
      <c r="N17" s="380">
        <f t="shared" si="0"/>
        <v>177864.81862273853</v>
      </c>
      <c r="O17" s="375">
        <f t="shared" ref="O17" si="1">SUM(C17:N17)</f>
        <v>2134377.8234728626</v>
      </c>
      <c r="P17" s="160"/>
      <c r="Q17" s="412">
        <f>Q15+Q16</f>
        <v>598528.48941085488</v>
      </c>
    </row>
    <row r="18" spans="1:18" ht="15.75" x14ac:dyDescent="0.25">
      <c r="A18" s="59" t="s">
        <v>97</v>
      </c>
      <c r="B18" s="147"/>
      <c r="C18" s="379">
        <f>+C17</f>
        <v>177864.81862273853</v>
      </c>
      <c r="D18" s="382">
        <f>+D17+C18</f>
        <v>355729.63724547706</v>
      </c>
      <c r="E18" s="382">
        <f>+E17+D18</f>
        <v>533594.45586821553</v>
      </c>
      <c r="F18" s="382">
        <f>+F17+E18</f>
        <v>711459.27449095412</v>
      </c>
      <c r="G18" s="382">
        <f t="shared" ref="G18:M18" si="2">+G17+F18</f>
        <v>889324.09311369271</v>
      </c>
      <c r="H18" s="382">
        <f t="shared" si="2"/>
        <v>1067188.9117364313</v>
      </c>
      <c r="I18" s="382">
        <f t="shared" si="2"/>
        <v>1245053.7303591699</v>
      </c>
      <c r="J18" s="382">
        <f t="shared" si="2"/>
        <v>1422918.5489819085</v>
      </c>
      <c r="K18" s="382">
        <f t="shared" si="2"/>
        <v>1600783.3676046471</v>
      </c>
      <c r="L18" s="382">
        <f t="shared" si="2"/>
        <v>1778648.1862273857</v>
      </c>
      <c r="M18" s="382">
        <f t="shared" si="2"/>
        <v>1956513.0048501242</v>
      </c>
      <c r="N18" s="382">
        <f>+N17+M18</f>
        <v>2134377.8234728626</v>
      </c>
      <c r="O18" s="383">
        <f>+N18</f>
        <v>2134377.8234728626</v>
      </c>
      <c r="P18" s="160"/>
      <c r="Q18" s="412">
        <f>Q14-Q17</f>
        <v>897792.73411628231</v>
      </c>
    </row>
    <row r="19" spans="1:18" ht="15" x14ac:dyDescent="0.2">
      <c r="A19" s="13"/>
      <c r="B19" s="13"/>
      <c r="C19" s="97"/>
      <c r="D19" s="151"/>
      <c r="E19" s="151"/>
      <c r="F19" s="151"/>
      <c r="G19" s="151"/>
      <c r="H19" s="151"/>
      <c r="I19" s="151"/>
      <c r="J19" s="151"/>
      <c r="K19" s="151"/>
      <c r="L19" s="335"/>
      <c r="M19" s="151"/>
      <c r="N19" s="151"/>
      <c r="O19" s="151"/>
      <c r="P19" s="161"/>
      <c r="Q19" s="160"/>
      <c r="R19" s="160"/>
    </row>
    <row r="20" spans="1:18" ht="15" x14ac:dyDescent="0.2">
      <c r="A20" s="13"/>
      <c r="B20" s="13"/>
      <c r="C20" s="97"/>
      <c r="D20" s="151"/>
      <c r="E20" s="151"/>
      <c r="F20" s="151"/>
      <c r="G20" s="151"/>
      <c r="H20" s="151"/>
      <c r="I20" s="151"/>
      <c r="J20" s="151"/>
      <c r="K20" s="151"/>
      <c r="L20" s="335"/>
      <c r="M20" s="151"/>
      <c r="N20" s="151"/>
      <c r="O20" s="151"/>
      <c r="P20" s="160"/>
      <c r="Q20" s="337"/>
    </row>
    <row r="21" spans="1:18" ht="15" x14ac:dyDescent="0.2">
      <c r="A21" s="13"/>
      <c r="B21" s="13"/>
      <c r="C21" s="97"/>
      <c r="D21" s="151"/>
      <c r="E21" s="151"/>
      <c r="F21" s="151"/>
      <c r="G21" s="151"/>
      <c r="H21" s="151"/>
      <c r="I21" s="151"/>
      <c r="J21" s="151"/>
      <c r="K21" s="151"/>
      <c r="L21" s="335"/>
      <c r="M21" s="151"/>
      <c r="N21" s="151"/>
      <c r="O21" s="151"/>
      <c r="P21" s="160"/>
      <c r="Q21" s="160"/>
    </row>
    <row r="22" spans="1:18" ht="15.75" x14ac:dyDescent="0.25">
      <c r="A22" s="2" t="s">
        <v>98</v>
      </c>
      <c r="B22" s="13"/>
      <c r="C22" s="97"/>
      <c r="D22" s="151"/>
      <c r="E22" s="151"/>
      <c r="F22" s="151"/>
      <c r="G22" s="151"/>
      <c r="H22" s="151"/>
      <c r="I22" s="151"/>
      <c r="J22" s="151"/>
      <c r="K22" s="151"/>
      <c r="L22" s="335"/>
      <c r="M22" s="151"/>
      <c r="N22" s="151"/>
      <c r="O22" s="151"/>
      <c r="P22" s="162"/>
      <c r="Q22" s="160"/>
    </row>
    <row r="23" spans="1:18" ht="15.75" x14ac:dyDescent="0.25">
      <c r="A23" s="2"/>
      <c r="B23" s="13"/>
      <c r="C23" s="97"/>
      <c r="D23" s="151"/>
      <c r="E23" s="151"/>
      <c r="F23" s="151"/>
      <c r="G23" s="151"/>
      <c r="H23" s="151"/>
      <c r="I23" s="151"/>
      <c r="J23" s="151"/>
      <c r="K23" s="151"/>
      <c r="L23" s="335"/>
      <c r="M23" s="151"/>
      <c r="N23" s="151"/>
      <c r="O23" s="151"/>
      <c r="P23" s="160"/>
      <c r="Q23" s="160"/>
    </row>
    <row r="24" spans="1:18" ht="15.75" x14ac:dyDescent="0.25">
      <c r="A24" s="619" t="s">
        <v>99</v>
      </c>
      <c r="B24" s="619"/>
      <c r="C24" s="619"/>
      <c r="D24" s="619"/>
      <c r="E24" s="619"/>
      <c r="F24" s="619"/>
      <c r="G24" s="619"/>
      <c r="H24" s="619"/>
      <c r="I24" s="619"/>
      <c r="J24" s="619"/>
      <c r="K24" s="619"/>
      <c r="L24" s="619"/>
      <c r="M24" s="619"/>
      <c r="N24" s="619"/>
      <c r="O24" s="620"/>
      <c r="P24" s="160"/>
      <c r="Q24" s="160"/>
    </row>
    <row r="25" spans="1:18" ht="15.75" x14ac:dyDescent="0.25">
      <c r="A25" s="436" t="s">
        <v>78</v>
      </c>
      <c r="B25" s="437"/>
      <c r="C25" s="388" t="s">
        <v>79</v>
      </c>
      <c r="D25" s="388" t="s">
        <v>80</v>
      </c>
      <c r="E25" s="388" t="s">
        <v>81</v>
      </c>
      <c r="F25" s="388" t="s">
        <v>82</v>
      </c>
      <c r="G25" s="388" t="s">
        <v>83</v>
      </c>
      <c r="H25" s="388" t="s">
        <v>84</v>
      </c>
      <c r="I25" s="388" t="s">
        <v>85</v>
      </c>
      <c r="J25" s="388" t="s">
        <v>86</v>
      </c>
      <c r="K25" s="388" t="s">
        <v>87</v>
      </c>
      <c r="L25" s="390" t="s">
        <v>88</v>
      </c>
      <c r="M25" s="388" t="s">
        <v>89</v>
      </c>
      <c r="N25" s="144" t="s">
        <v>90</v>
      </c>
      <c r="O25" s="144" t="s">
        <v>28</v>
      </c>
      <c r="P25" s="160"/>
      <c r="Q25" s="160"/>
    </row>
    <row r="26" spans="1:18" ht="15.75" x14ac:dyDescent="0.25">
      <c r="A26" s="438" t="s">
        <v>91</v>
      </c>
      <c r="B26" s="439"/>
      <c r="C26" s="389"/>
      <c r="D26" s="386"/>
      <c r="E26" s="386"/>
      <c r="F26" s="386"/>
      <c r="G26" s="386"/>
      <c r="H26" s="386"/>
      <c r="I26" s="386"/>
      <c r="J26" s="386"/>
      <c r="K26" s="386"/>
      <c r="L26" s="392"/>
      <c r="M26" s="385"/>
      <c r="N26" s="387"/>
      <c r="O26" s="385"/>
      <c r="P26" s="160"/>
      <c r="Q26" s="536" t="s">
        <v>593</v>
      </c>
    </row>
    <row r="27" spans="1:18" ht="15.75" x14ac:dyDescent="0.25">
      <c r="A27" s="440" t="s">
        <v>92</v>
      </c>
      <c r="B27" s="441"/>
      <c r="C27" s="373">
        <f>INGRESOS!B29</f>
        <v>346358.53570499999</v>
      </c>
      <c r="D27" s="373">
        <f>INGRESOS!C29</f>
        <v>346358.53570499999</v>
      </c>
      <c r="E27" s="373">
        <f>INGRESOS!D29</f>
        <v>346358.53570499999</v>
      </c>
      <c r="F27" s="373">
        <f>INGRESOS!E29</f>
        <v>346358.53570499999</v>
      </c>
      <c r="G27" s="373">
        <f>INGRESOS!F29</f>
        <v>346358.53570499999</v>
      </c>
      <c r="H27" s="373">
        <f>INGRESOS!G29</f>
        <v>346358.53570499999</v>
      </c>
      <c r="I27" s="373">
        <f>INGRESOS!H29</f>
        <v>346358.53570499999</v>
      </c>
      <c r="J27" s="373">
        <f>INGRESOS!I29</f>
        <v>346358.53570499999</v>
      </c>
      <c r="K27" s="373">
        <f>INGRESOS!J29</f>
        <v>346358.53570499999</v>
      </c>
      <c r="L27" s="373">
        <f>INGRESOS!K29</f>
        <v>346358.53570499999</v>
      </c>
      <c r="M27" s="373">
        <f>INGRESOS!L29</f>
        <v>346358.53570499999</v>
      </c>
      <c r="N27" s="373">
        <f>INGRESOS!M29</f>
        <v>346358.53570499999</v>
      </c>
      <c r="O27" s="374">
        <f>SUM(C27:N27)</f>
        <v>4156302.4284600005</v>
      </c>
      <c r="P27" s="160"/>
      <c r="Q27" s="535">
        <f>O27-O32</f>
        <v>2008399.8440371389</v>
      </c>
    </row>
    <row r="28" spans="1:18" ht="15.75" x14ac:dyDescent="0.25">
      <c r="A28" s="438" t="s">
        <v>100</v>
      </c>
      <c r="B28" s="439"/>
      <c r="C28" s="393"/>
      <c r="D28" s="384"/>
      <c r="E28" s="378"/>
      <c r="F28" s="378"/>
      <c r="G28" s="378"/>
      <c r="H28" s="378"/>
      <c r="I28" s="378"/>
      <c r="J28" s="378"/>
      <c r="K28" s="378"/>
      <c r="L28" s="391"/>
      <c r="M28" s="378"/>
      <c r="N28" s="375"/>
      <c r="O28" s="377"/>
      <c r="P28" s="160"/>
      <c r="Q28" s="535">
        <f>Q27-25000</f>
        <v>1983399.8440371389</v>
      </c>
    </row>
    <row r="29" spans="1:18" ht="15.75" x14ac:dyDescent="0.25">
      <c r="A29" s="150" t="s">
        <v>94</v>
      </c>
      <c r="B29" s="396"/>
      <c r="C29" s="400">
        <f>COSTOS!B44</f>
        <v>145154.68833523852</v>
      </c>
      <c r="D29" s="400">
        <f>COSTOS!C44</f>
        <v>145154.68833523852</v>
      </c>
      <c r="E29" s="400">
        <f>COSTOS!D44</f>
        <v>145154.68833523852</v>
      </c>
      <c r="F29" s="400">
        <f>COSTOS!E44</f>
        <v>145154.68833523852</v>
      </c>
      <c r="G29" s="400">
        <f>COSTOS!F44</f>
        <v>145154.68833523852</v>
      </c>
      <c r="H29" s="400">
        <f>COSTOS!G44</f>
        <v>145154.68833523852</v>
      </c>
      <c r="I29" s="400">
        <f>COSTOS!H44</f>
        <v>145154.68833523852</v>
      </c>
      <c r="J29" s="400">
        <f>COSTOS!I44</f>
        <v>145154.68833523852</v>
      </c>
      <c r="K29" s="400">
        <f>COSTOS!J44</f>
        <v>145154.68833523852</v>
      </c>
      <c r="L29" s="400">
        <f>COSTOS!K44</f>
        <v>145154.68833523852</v>
      </c>
      <c r="M29" s="400">
        <f>COSTOS!L44</f>
        <v>145154.68833523852</v>
      </c>
      <c r="N29" s="400">
        <f>COSTOS!M44</f>
        <v>145154.68833523852</v>
      </c>
      <c r="O29" s="375">
        <f>SUM(C29:N29)</f>
        <v>1741856.2600228621</v>
      </c>
      <c r="P29" s="160"/>
      <c r="Q29" s="535">
        <f>Q28*0.1</f>
        <v>198339.9844037139</v>
      </c>
    </row>
    <row r="30" spans="1:18" ht="15.75" x14ac:dyDescent="0.25">
      <c r="A30" s="150" t="s">
        <v>95</v>
      </c>
      <c r="B30" s="397"/>
      <c r="C30" s="384">
        <f>COSTOS!B48</f>
        <v>33837.193700000003</v>
      </c>
      <c r="D30" s="384">
        <f>COSTOS!C48</f>
        <v>33837.193700000003</v>
      </c>
      <c r="E30" s="384">
        <f>COSTOS!D48</f>
        <v>33837.193700000003</v>
      </c>
      <c r="F30" s="384">
        <f>COSTOS!E48</f>
        <v>33837.193700000003</v>
      </c>
      <c r="G30" s="384">
        <f>COSTOS!F48</f>
        <v>33837.193700000003</v>
      </c>
      <c r="H30" s="384">
        <f>COSTOS!G48</f>
        <v>33837.193700000003</v>
      </c>
      <c r="I30" s="384">
        <f>COSTOS!H48</f>
        <v>33837.193700000003</v>
      </c>
      <c r="J30" s="384">
        <f>COSTOS!I48</f>
        <v>33837.193700000003</v>
      </c>
      <c r="K30" s="384">
        <f>COSTOS!J48</f>
        <v>33837.193700000003</v>
      </c>
      <c r="L30" s="384">
        <f>COSTOS!K48</f>
        <v>33837.193700000003</v>
      </c>
      <c r="M30" s="384">
        <f>COSTOS!L48</f>
        <v>33837.193700000003</v>
      </c>
      <c r="N30" s="384">
        <f>COSTOS!M48</f>
        <v>33837.193700000003</v>
      </c>
      <c r="O30" s="375">
        <f>SUM(C30:N30)</f>
        <v>406046.32440000004</v>
      </c>
      <c r="P30" s="160"/>
      <c r="Q30" s="535">
        <f>Q28*0.3</f>
        <v>595019.95321114163</v>
      </c>
    </row>
    <row r="31" spans="1:18" ht="15.75" x14ac:dyDescent="0.25">
      <c r="A31" s="14" t="s">
        <v>96</v>
      </c>
      <c r="B31" s="395"/>
      <c r="C31" s="394">
        <f t="shared" ref="C31:N31" si="3">C29+C30</f>
        <v>178991.88203523852</v>
      </c>
      <c r="D31" s="394">
        <f t="shared" si="3"/>
        <v>178991.88203523852</v>
      </c>
      <c r="E31" s="394">
        <f t="shared" si="3"/>
        <v>178991.88203523852</v>
      </c>
      <c r="F31" s="394">
        <f t="shared" si="3"/>
        <v>178991.88203523852</v>
      </c>
      <c r="G31" s="394">
        <f t="shared" si="3"/>
        <v>178991.88203523852</v>
      </c>
      <c r="H31" s="394">
        <f t="shared" si="3"/>
        <v>178991.88203523852</v>
      </c>
      <c r="I31" s="394">
        <f t="shared" si="3"/>
        <v>178991.88203523852</v>
      </c>
      <c r="J31" s="394">
        <f t="shared" si="3"/>
        <v>178991.88203523852</v>
      </c>
      <c r="K31" s="394">
        <f t="shared" si="3"/>
        <v>178991.88203523852</v>
      </c>
      <c r="L31" s="394">
        <f t="shared" si="3"/>
        <v>178991.88203523852</v>
      </c>
      <c r="M31" s="394">
        <f t="shared" si="3"/>
        <v>178991.88203523852</v>
      </c>
      <c r="N31" s="394">
        <f t="shared" si="3"/>
        <v>178991.88203523852</v>
      </c>
      <c r="O31" s="375">
        <f>SUM(C31:N31)</f>
        <v>2147902.5844228617</v>
      </c>
      <c r="P31" s="160"/>
      <c r="Q31" s="412">
        <f>Q29+Q30</f>
        <v>793359.93761485559</v>
      </c>
    </row>
    <row r="32" spans="1:18" ht="15.75" x14ac:dyDescent="0.25">
      <c r="A32" s="59" t="s">
        <v>97</v>
      </c>
      <c r="B32" s="147"/>
      <c r="C32" s="379">
        <f>+C31</f>
        <v>178991.88203523852</v>
      </c>
      <c r="D32" s="382">
        <f t="shared" ref="D32:N32" si="4">+D31+C32</f>
        <v>357983.76407047705</v>
      </c>
      <c r="E32" s="382">
        <f t="shared" si="4"/>
        <v>536975.64610571554</v>
      </c>
      <c r="F32" s="382">
        <f t="shared" si="4"/>
        <v>715967.52814095409</v>
      </c>
      <c r="G32" s="382">
        <f t="shared" si="4"/>
        <v>894959.41017619264</v>
      </c>
      <c r="H32" s="382">
        <f t="shared" si="4"/>
        <v>1073951.2922114311</v>
      </c>
      <c r="I32" s="382">
        <f t="shared" si="4"/>
        <v>1252943.1742466695</v>
      </c>
      <c r="J32" s="382">
        <f t="shared" si="4"/>
        <v>1431935.0562819079</v>
      </c>
      <c r="K32" s="382">
        <f t="shared" si="4"/>
        <v>1610926.9383171464</v>
      </c>
      <c r="L32" s="382">
        <f t="shared" si="4"/>
        <v>1789918.8203523848</v>
      </c>
      <c r="M32" s="382">
        <f t="shared" si="4"/>
        <v>1968910.7023876233</v>
      </c>
      <c r="N32" s="382">
        <f t="shared" si="4"/>
        <v>2147902.5844228617</v>
      </c>
      <c r="O32" s="383">
        <f>+N32</f>
        <v>2147902.5844228617</v>
      </c>
      <c r="P32" s="160"/>
      <c r="Q32" s="412">
        <f>Q28-Q31</f>
        <v>1190039.9064222833</v>
      </c>
    </row>
    <row r="33" spans="1:17" x14ac:dyDescent="0.2">
      <c r="A33" s="141"/>
      <c r="B33" s="141"/>
      <c r="C33" s="152"/>
      <c r="D33" s="153"/>
      <c r="E33" s="153"/>
      <c r="F33" s="153"/>
      <c r="G33" s="153"/>
      <c r="H33" s="153"/>
      <c r="I33" s="153"/>
      <c r="J33" s="153"/>
      <c r="K33" s="153"/>
      <c r="L33" s="336"/>
      <c r="M33" s="153"/>
      <c r="N33" s="153"/>
      <c r="O33" s="163"/>
    </row>
    <row r="34" spans="1:17" x14ac:dyDescent="0.2">
      <c r="A34" s="141"/>
      <c r="B34" s="141"/>
      <c r="C34" s="152"/>
      <c r="D34" s="153"/>
      <c r="E34" s="153"/>
      <c r="F34" s="153"/>
      <c r="G34" s="153"/>
      <c r="H34" s="153"/>
      <c r="I34" s="153"/>
      <c r="J34" s="153"/>
      <c r="K34" s="153"/>
      <c r="L34" s="336"/>
      <c r="M34" s="153"/>
      <c r="N34" s="153"/>
      <c r="O34" s="163"/>
    </row>
    <row r="35" spans="1:17" ht="18" x14ac:dyDescent="0.25">
      <c r="A35" s="1"/>
      <c r="B35" s="154"/>
      <c r="C35" s="154"/>
      <c r="D35" s="154"/>
      <c r="E35" s="154"/>
      <c r="F35" s="154"/>
      <c r="G35" s="142"/>
      <c r="H35" s="142"/>
      <c r="I35" s="142"/>
      <c r="J35" s="142"/>
      <c r="K35" s="142"/>
      <c r="L35" s="331"/>
      <c r="M35" s="142"/>
      <c r="N35" s="142"/>
      <c r="O35" s="142"/>
    </row>
    <row r="36" spans="1:17" ht="14.25" x14ac:dyDescent="0.2">
      <c r="A36" s="154"/>
      <c r="B36" s="154"/>
      <c r="C36" s="154"/>
      <c r="D36" s="154"/>
      <c r="E36" s="154"/>
    </row>
    <row r="37" spans="1:17" ht="15.75" x14ac:dyDescent="0.25">
      <c r="A37" s="621" t="s">
        <v>101</v>
      </c>
      <c r="B37" s="621"/>
      <c r="C37" s="621"/>
      <c r="D37" s="621"/>
      <c r="E37" s="621"/>
      <c r="F37" s="621"/>
      <c r="G37" s="621"/>
      <c r="H37" s="621"/>
      <c r="I37" s="621"/>
      <c r="J37" s="621"/>
      <c r="K37" s="621"/>
      <c r="L37" s="621"/>
      <c r="M37" s="621"/>
      <c r="N37" s="621"/>
      <c r="O37" s="622"/>
    </row>
    <row r="38" spans="1:17" ht="15.75" x14ac:dyDescent="0.25">
      <c r="A38" s="436" t="s">
        <v>78</v>
      </c>
      <c r="B38" s="437"/>
      <c r="C38" s="388" t="s">
        <v>79</v>
      </c>
      <c r="D38" s="388" t="s">
        <v>80</v>
      </c>
      <c r="E38" s="388" t="s">
        <v>81</v>
      </c>
      <c r="F38" s="388" t="s">
        <v>82</v>
      </c>
      <c r="G38" s="388" t="s">
        <v>83</v>
      </c>
      <c r="H38" s="388" t="s">
        <v>84</v>
      </c>
      <c r="I38" s="388" t="s">
        <v>85</v>
      </c>
      <c r="J38" s="388" t="s">
        <v>86</v>
      </c>
      <c r="K38" s="388" t="s">
        <v>87</v>
      </c>
      <c r="L38" s="390" t="s">
        <v>88</v>
      </c>
      <c r="M38" s="388" t="s">
        <v>89</v>
      </c>
      <c r="N38" s="144" t="s">
        <v>90</v>
      </c>
      <c r="O38" s="144" t="s">
        <v>28</v>
      </c>
    </row>
    <row r="39" spans="1:17" ht="15.75" x14ac:dyDescent="0.25">
      <c r="A39" s="438" t="s">
        <v>91</v>
      </c>
      <c r="B39" s="439"/>
      <c r="C39" s="389"/>
      <c r="D39" s="386"/>
      <c r="E39" s="386"/>
      <c r="F39" s="386"/>
      <c r="G39" s="386"/>
      <c r="H39" s="386"/>
      <c r="I39" s="386"/>
      <c r="J39" s="386"/>
      <c r="K39" s="386"/>
      <c r="L39" s="392"/>
      <c r="M39" s="385"/>
      <c r="N39" s="387"/>
      <c r="O39" s="385"/>
      <c r="Q39" s="536" t="s">
        <v>593</v>
      </c>
    </row>
    <row r="40" spans="1:17" ht="15.75" x14ac:dyDescent="0.25">
      <c r="A40" s="440" t="s">
        <v>92</v>
      </c>
      <c r="B40" s="441"/>
      <c r="C40" s="373">
        <f>INGRESOS!B41</f>
        <v>377530.80391845002</v>
      </c>
      <c r="D40" s="373">
        <f>INGRESOS!C41</f>
        <v>377530.80391845002</v>
      </c>
      <c r="E40" s="373">
        <f>INGRESOS!D41</f>
        <v>377530.80391845002</v>
      </c>
      <c r="F40" s="373">
        <f>INGRESOS!E41</f>
        <v>377530.80391845002</v>
      </c>
      <c r="G40" s="373">
        <f>INGRESOS!F41</f>
        <v>377530.80391845002</v>
      </c>
      <c r="H40" s="373">
        <f>INGRESOS!G41</f>
        <v>377530.80391845002</v>
      </c>
      <c r="I40" s="373">
        <f>INGRESOS!H41</f>
        <v>377530.80391845002</v>
      </c>
      <c r="J40" s="373">
        <f>INGRESOS!I41</f>
        <v>377530.80391845002</v>
      </c>
      <c r="K40" s="373">
        <f>INGRESOS!J41</f>
        <v>377530.80391845002</v>
      </c>
      <c r="L40" s="373">
        <f>INGRESOS!K41</f>
        <v>377530.80391845002</v>
      </c>
      <c r="M40" s="373">
        <f>INGRESOS!L41</f>
        <v>377530.80391845002</v>
      </c>
      <c r="N40" s="373">
        <f>INGRESOS!M41</f>
        <v>377530.80391845002</v>
      </c>
      <c r="O40" s="374">
        <f>SUM(C40:N40)</f>
        <v>4530369.6470214007</v>
      </c>
      <c r="Q40" s="535">
        <f>O40-O45</f>
        <v>2368830.7321784133</v>
      </c>
    </row>
    <row r="41" spans="1:17" ht="15.75" x14ac:dyDescent="0.25">
      <c r="A41" s="438" t="s">
        <v>100</v>
      </c>
      <c r="B41" s="439"/>
      <c r="C41" s="393"/>
      <c r="D41" s="384"/>
      <c r="E41" s="378"/>
      <c r="F41" s="378"/>
      <c r="G41" s="378"/>
      <c r="H41" s="378"/>
      <c r="I41" s="378"/>
      <c r="J41" s="378"/>
      <c r="K41" s="378"/>
      <c r="L41" s="391"/>
      <c r="M41" s="378"/>
      <c r="N41" s="375"/>
      <c r="O41" s="377"/>
      <c r="Q41" s="535">
        <f>Q40-25000</f>
        <v>2343830.7321784133</v>
      </c>
    </row>
    <row r="42" spans="1:17" ht="15.75" x14ac:dyDescent="0.25">
      <c r="A42" s="150" t="s">
        <v>94</v>
      </c>
      <c r="B42" s="396"/>
      <c r="C42" s="400">
        <f>COSTOS!B57</f>
        <v>146118.84349658227</v>
      </c>
      <c r="D42" s="400">
        <f>COSTOS!C57</f>
        <v>146118.84349658227</v>
      </c>
      <c r="E42" s="400">
        <f>COSTOS!D57</f>
        <v>146118.84349658227</v>
      </c>
      <c r="F42" s="400">
        <f>COSTOS!E57</f>
        <v>146118.84349658227</v>
      </c>
      <c r="G42" s="400">
        <f>COSTOS!F57</f>
        <v>146118.84349658227</v>
      </c>
      <c r="H42" s="400">
        <f>COSTOS!G57</f>
        <v>146118.84349658227</v>
      </c>
      <c r="I42" s="400">
        <f>COSTOS!H57</f>
        <v>146118.84349658227</v>
      </c>
      <c r="J42" s="400">
        <f>COSTOS!I57</f>
        <v>146118.84349658227</v>
      </c>
      <c r="K42" s="400">
        <f>COSTOS!J57</f>
        <v>146118.84349658227</v>
      </c>
      <c r="L42" s="400">
        <f>COSTOS!K57</f>
        <v>146118.84349658227</v>
      </c>
      <c r="M42" s="400">
        <f>COSTOS!L57</f>
        <v>146118.84349658227</v>
      </c>
      <c r="N42" s="400">
        <f>COSTOS!M57</f>
        <v>146118.84349658227</v>
      </c>
      <c r="O42" s="375">
        <f>SUM(C42:N42)</f>
        <v>1753426.1219589871</v>
      </c>
      <c r="Q42" s="535">
        <f>Q41*0.1</f>
        <v>234383.07321784133</v>
      </c>
    </row>
    <row r="43" spans="1:17" ht="15.75" x14ac:dyDescent="0.25">
      <c r="A43" s="150" t="s">
        <v>95</v>
      </c>
      <c r="B43" s="397"/>
      <c r="C43" s="384">
        <f>COSTOS!B61</f>
        <v>34009.399407000004</v>
      </c>
      <c r="D43" s="384">
        <f>COSTOS!C61</f>
        <v>34009.399407000004</v>
      </c>
      <c r="E43" s="384">
        <f>COSTOS!D61</f>
        <v>34009.399407000004</v>
      </c>
      <c r="F43" s="384">
        <f>COSTOS!E61</f>
        <v>34009.399407000004</v>
      </c>
      <c r="G43" s="384">
        <f>COSTOS!F61</f>
        <v>34009.399407000004</v>
      </c>
      <c r="H43" s="384">
        <f>COSTOS!G61</f>
        <v>34009.399407000004</v>
      </c>
      <c r="I43" s="384">
        <f>COSTOS!H61</f>
        <v>34009.399407000004</v>
      </c>
      <c r="J43" s="384">
        <f>COSTOS!I61</f>
        <v>34009.399407000004</v>
      </c>
      <c r="K43" s="384">
        <f>COSTOS!J61</f>
        <v>34009.399407000004</v>
      </c>
      <c r="L43" s="384">
        <f>COSTOS!K61</f>
        <v>34009.399407000004</v>
      </c>
      <c r="M43" s="384">
        <f>COSTOS!L61</f>
        <v>34009.399407000004</v>
      </c>
      <c r="N43" s="384">
        <f>COSTOS!M61</f>
        <v>34009.399407000004</v>
      </c>
      <c r="O43" s="375">
        <f>SUM(C43:N43)</f>
        <v>408112.79288399994</v>
      </c>
      <c r="Q43" s="535">
        <f>Q41*0.3</f>
        <v>703149.21965352399</v>
      </c>
    </row>
    <row r="44" spans="1:17" ht="15.75" x14ac:dyDescent="0.25">
      <c r="A44" s="14" t="s">
        <v>96</v>
      </c>
      <c r="B44" s="395"/>
      <c r="C44" s="394">
        <f t="shared" ref="C44:N44" si="5">C42+C43</f>
        <v>180128.24290358229</v>
      </c>
      <c r="D44" s="394">
        <f t="shared" si="5"/>
        <v>180128.24290358229</v>
      </c>
      <c r="E44" s="394">
        <f t="shared" si="5"/>
        <v>180128.24290358229</v>
      </c>
      <c r="F44" s="394">
        <f t="shared" si="5"/>
        <v>180128.24290358229</v>
      </c>
      <c r="G44" s="394">
        <f t="shared" si="5"/>
        <v>180128.24290358229</v>
      </c>
      <c r="H44" s="394">
        <f t="shared" si="5"/>
        <v>180128.24290358229</v>
      </c>
      <c r="I44" s="394">
        <f t="shared" si="5"/>
        <v>180128.24290358229</v>
      </c>
      <c r="J44" s="394">
        <f t="shared" si="5"/>
        <v>180128.24290358229</v>
      </c>
      <c r="K44" s="394">
        <f t="shared" si="5"/>
        <v>180128.24290358229</v>
      </c>
      <c r="L44" s="394">
        <f t="shared" si="5"/>
        <v>180128.24290358229</v>
      </c>
      <c r="M44" s="394">
        <f t="shared" si="5"/>
        <v>180128.24290358229</v>
      </c>
      <c r="N44" s="394">
        <f t="shared" si="5"/>
        <v>180128.24290358229</v>
      </c>
      <c r="O44" s="375">
        <f>SUM(C44:N44)</f>
        <v>2161538.9148429874</v>
      </c>
      <c r="Q44" s="412">
        <f>Q42+Q43</f>
        <v>937532.29287136532</v>
      </c>
    </row>
    <row r="45" spans="1:17" ht="15.75" x14ac:dyDescent="0.25">
      <c r="A45" s="59" t="s">
        <v>97</v>
      </c>
      <c r="B45" s="147"/>
      <c r="C45" s="379">
        <f>+C44</f>
        <v>180128.24290358229</v>
      </c>
      <c r="D45" s="382">
        <f t="shared" ref="D45" si="6">+D44+C45</f>
        <v>360256.48580716457</v>
      </c>
      <c r="E45" s="382">
        <f t="shared" ref="E45" si="7">+E44+D45</f>
        <v>540384.72871074686</v>
      </c>
      <c r="F45" s="382">
        <f t="shared" ref="F45" si="8">+F44+E45</f>
        <v>720512.97161432914</v>
      </c>
      <c r="G45" s="382">
        <f t="shared" ref="G45" si="9">+G44+F45</f>
        <v>900641.21451791143</v>
      </c>
      <c r="H45" s="382">
        <f t="shared" ref="H45" si="10">+H44+G45</f>
        <v>1080769.4574214937</v>
      </c>
      <c r="I45" s="382">
        <f t="shared" ref="I45" si="11">+I44+H45</f>
        <v>1260897.700325076</v>
      </c>
      <c r="J45" s="382">
        <f t="shared" ref="J45" si="12">+J44+I45</f>
        <v>1441025.9432286583</v>
      </c>
      <c r="K45" s="382">
        <f t="shared" ref="K45" si="13">+K44+J45</f>
        <v>1621154.1861322406</v>
      </c>
      <c r="L45" s="382">
        <f t="shared" ref="L45" si="14">+L44+K45</f>
        <v>1801282.4290358229</v>
      </c>
      <c r="M45" s="382">
        <f t="shared" ref="M45" si="15">+M44+L45</f>
        <v>1981410.6719394051</v>
      </c>
      <c r="N45" s="382">
        <f t="shared" ref="N45" si="16">+N44+M45</f>
        <v>2161538.9148429874</v>
      </c>
      <c r="O45" s="383">
        <f>+N45</f>
        <v>2161538.9148429874</v>
      </c>
      <c r="Q45" s="412">
        <f>Q41-Q44</f>
        <v>1406298.439307048</v>
      </c>
    </row>
    <row r="48" spans="1:17" ht="15.75" x14ac:dyDescent="0.25">
      <c r="A48" s="623" t="s">
        <v>499</v>
      </c>
      <c r="B48" s="623"/>
      <c r="C48" s="623"/>
      <c r="D48" s="623"/>
      <c r="E48" s="623"/>
      <c r="F48" s="623"/>
      <c r="G48" s="623"/>
      <c r="H48" s="623"/>
      <c r="I48" s="623"/>
      <c r="J48" s="623"/>
      <c r="K48" s="623"/>
      <c r="L48" s="623"/>
      <c r="M48" s="623"/>
      <c r="N48" s="623"/>
      <c r="O48" s="624"/>
    </row>
    <row r="49" spans="1:17" ht="15.75" x14ac:dyDescent="0.25">
      <c r="A49" s="402" t="s">
        <v>78</v>
      </c>
      <c r="B49" s="403"/>
      <c r="C49" s="388" t="s">
        <v>79</v>
      </c>
      <c r="D49" s="388" t="s">
        <v>80</v>
      </c>
      <c r="E49" s="388" t="s">
        <v>81</v>
      </c>
      <c r="F49" s="388" t="s">
        <v>82</v>
      </c>
      <c r="G49" s="388" t="s">
        <v>83</v>
      </c>
      <c r="H49" s="388" t="s">
        <v>84</v>
      </c>
      <c r="I49" s="388" t="s">
        <v>85</v>
      </c>
      <c r="J49" s="388" t="s">
        <v>86</v>
      </c>
      <c r="K49" s="388" t="s">
        <v>87</v>
      </c>
      <c r="L49" s="390" t="s">
        <v>88</v>
      </c>
      <c r="M49" s="388" t="s">
        <v>89</v>
      </c>
      <c r="N49" s="144" t="s">
        <v>90</v>
      </c>
      <c r="O49" s="144" t="s">
        <v>28</v>
      </c>
    </row>
    <row r="50" spans="1:17" ht="15.75" x14ac:dyDescent="0.25">
      <c r="A50" s="404" t="s">
        <v>91</v>
      </c>
      <c r="B50" s="405"/>
      <c r="C50" s="389"/>
      <c r="D50" s="386"/>
      <c r="E50" s="386"/>
      <c r="F50" s="386"/>
      <c r="G50" s="386"/>
      <c r="H50" s="386"/>
      <c r="I50" s="386"/>
      <c r="J50" s="386"/>
      <c r="K50" s="386"/>
      <c r="L50" s="392"/>
      <c r="M50" s="385"/>
      <c r="N50" s="387"/>
      <c r="O50" s="385"/>
      <c r="P50" s="160"/>
      <c r="Q50" s="536" t="s">
        <v>593</v>
      </c>
    </row>
    <row r="51" spans="1:17" ht="15.75" x14ac:dyDescent="0.25">
      <c r="A51" s="406" t="s">
        <v>92</v>
      </c>
      <c r="B51" s="407"/>
      <c r="C51" s="373">
        <f>INGRESOS!B53</f>
        <v>411508.57627111056</v>
      </c>
      <c r="D51" s="373">
        <f>INGRESOS!C53</f>
        <v>411508.57627111056</v>
      </c>
      <c r="E51" s="373">
        <f>INGRESOS!D53</f>
        <v>411508.57627111056</v>
      </c>
      <c r="F51" s="373">
        <f>INGRESOS!E53</f>
        <v>411508.57627111056</v>
      </c>
      <c r="G51" s="373">
        <f>INGRESOS!F53</f>
        <v>411508.57627111056</v>
      </c>
      <c r="H51" s="373">
        <f>INGRESOS!G53</f>
        <v>411508.57627111056</v>
      </c>
      <c r="I51" s="373">
        <f>INGRESOS!H53</f>
        <v>411508.57627111056</v>
      </c>
      <c r="J51" s="373">
        <f>INGRESOS!I53</f>
        <v>411508.57627111056</v>
      </c>
      <c r="K51" s="373">
        <f>INGRESOS!J53</f>
        <v>411508.57627111056</v>
      </c>
      <c r="L51" s="373">
        <f>INGRESOS!K53</f>
        <v>411508.57627111056</v>
      </c>
      <c r="M51" s="373">
        <f>INGRESOS!L53</f>
        <v>411508.57627111056</v>
      </c>
      <c r="N51" s="373">
        <f>INGRESOS!M53</f>
        <v>411508.57627111056</v>
      </c>
      <c r="O51" s="374">
        <f>SUM(C51:N51)</f>
        <v>4938102.9152533272</v>
      </c>
      <c r="P51" s="160"/>
      <c r="Q51" s="535">
        <f>O51-O56</f>
        <v>2764902.2955802735</v>
      </c>
    </row>
    <row r="52" spans="1:17" ht="15.75" x14ac:dyDescent="0.25">
      <c r="A52" s="404" t="s">
        <v>100</v>
      </c>
      <c r="B52" s="405"/>
      <c r="C52" s="393"/>
      <c r="D52" s="384"/>
      <c r="E52" s="378"/>
      <c r="F52" s="378"/>
      <c r="G52" s="378"/>
      <c r="H52" s="378"/>
      <c r="I52" s="378"/>
      <c r="J52" s="378"/>
      <c r="K52" s="378"/>
      <c r="L52" s="391"/>
      <c r="M52" s="378"/>
      <c r="N52" s="375"/>
      <c r="O52" s="377"/>
      <c r="Q52" s="535">
        <f>Q51-25000</f>
        <v>2739902.2955802735</v>
      </c>
    </row>
    <row r="53" spans="1:17" ht="15.75" x14ac:dyDescent="0.25">
      <c r="A53" s="150" t="s">
        <v>94</v>
      </c>
      <c r="B53" s="396"/>
      <c r="C53" s="400">
        <f>COSTOS!B70</f>
        <v>147090.65223242113</v>
      </c>
      <c r="D53" s="400">
        <f>COSTOS!C70</f>
        <v>147090.65223242113</v>
      </c>
      <c r="E53" s="400">
        <f>COSTOS!D70</f>
        <v>147090.65223242113</v>
      </c>
      <c r="F53" s="400">
        <f>COSTOS!E70</f>
        <v>147090.65223242113</v>
      </c>
      <c r="G53" s="400">
        <f>COSTOS!F70</f>
        <v>147090.65223242113</v>
      </c>
      <c r="H53" s="400">
        <f>COSTOS!G70</f>
        <v>147090.65223242113</v>
      </c>
      <c r="I53" s="400">
        <f>COSTOS!H70</f>
        <v>147090.65223242113</v>
      </c>
      <c r="J53" s="400">
        <f>COSTOS!I70</f>
        <v>147090.65223242113</v>
      </c>
      <c r="K53" s="400">
        <f>COSTOS!J70</f>
        <v>147090.65223242113</v>
      </c>
      <c r="L53" s="400">
        <f>COSTOS!K70</f>
        <v>147090.65223242113</v>
      </c>
      <c r="M53" s="400">
        <f>COSTOS!L70</f>
        <v>147090.65223242113</v>
      </c>
      <c r="N53" s="400">
        <f>COSTOS!M70</f>
        <v>147090.65223242113</v>
      </c>
      <c r="O53" s="375">
        <f>SUM(C53:N53)</f>
        <v>1765087.8267890534</v>
      </c>
      <c r="P53" s="160"/>
      <c r="Q53" s="535">
        <f>Q52*0.1</f>
        <v>273990.22955802735</v>
      </c>
    </row>
    <row r="54" spans="1:17" ht="15.75" x14ac:dyDescent="0.25">
      <c r="A54" s="150" t="s">
        <v>95</v>
      </c>
      <c r="B54" s="397"/>
      <c r="C54" s="384">
        <f>COSTOS!B61</f>
        <v>34009.399407000004</v>
      </c>
      <c r="D54" s="384">
        <f>COSTOS!C61</f>
        <v>34009.399407000004</v>
      </c>
      <c r="E54" s="384">
        <f>COSTOS!D61</f>
        <v>34009.399407000004</v>
      </c>
      <c r="F54" s="384">
        <f>COSTOS!E61</f>
        <v>34009.399407000004</v>
      </c>
      <c r="G54" s="384">
        <f>COSTOS!F61</f>
        <v>34009.399407000004</v>
      </c>
      <c r="H54" s="384">
        <f>COSTOS!G61</f>
        <v>34009.399407000004</v>
      </c>
      <c r="I54" s="384">
        <f>COSTOS!H61</f>
        <v>34009.399407000004</v>
      </c>
      <c r="J54" s="384">
        <f>COSTOS!I61</f>
        <v>34009.399407000004</v>
      </c>
      <c r="K54" s="384">
        <f>COSTOS!J61</f>
        <v>34009.399407000004</v>
      </c>
      <c r="L54" s="384">
        <f>COSTOS!K61</f>
        <v>34009.399407000004</v>
      </c>
      <c r="M54" s="384">
        <f>COSTOS!L61</f>
        <v>34009.399407000004</v>
      </c>
      <c r="N54" s="384">
        <f>COSTOS!M61</f>
        <v>34009.399407000004</v>
      </c>
      <c r="O54" s="375">
        <f>SUM(C54:N54)</f>
        <v>408112.79288399994</v>
      </c>
      <c r="Q54" s="535">
        <f>Q52*0.3</f>
        <v>821970.68867408205</v>
      </c>
    </row>
    <row r="55" spans="1:17" ht="15.75" x14ac:dyDescent="0.25">
      <c r="A55" s="14" t="s">
        <v>96</v>
      </c>
      <c r="B55" s="395"/>
      <c r="C55" s="394">
        <f>C53+C54</f>
        <v>181100.05163942114</v>
      </c>
      <c r="D55" s="394">
        <f t="shared" ref="D55" si="17">D53+D54</f>
        <v>181100.05163942114</v>
      </c>
      <c r="E55" s="394">
        <f t="shared" ref="E55" si="18">E53+E54</f>
        <v>181100.05163942114</v>
      </c>
      <c r="F55" s="394">
        <f t="shared" ref="F55" si="19">F53+F54</f>
        <v>181100.05163942114</v>
      </c>
      <c r="G55" s="394">
        <f t="shared" ref="G55" si="20">G53+G54</f>
        <v>181100.05163942114</v>
      </c>
      <c r="H55" s="394">
        <f t="shared" ref="H55" si="21">H53+H54</f>
        <v>181100.05163942114</v>
      </c>
      <c r="I55" s="394">
        <f t="shared" ref="I55" si="22">I53+I54</f>
        <v>181100.05163942114</v>
      </c>
      <c r="J55" s="394">
        <f t="shared" ref="J55" si="23">J53+J54</f>
        <v>181100.05163942114</v>
      </c>
      <c r="K55" s="394">
        <f t="shared" ref="K55" si="24">K53+K54</f>
        <v>181100.05163942114</v>
      </c>
      <c r="L55" s="394">
        <f t="shared" ref="L55" si="25">L53+L54</f>
        <v>181100.05163942114</v>
      </c>
      <c r="M55" s="394">
        <f t="shared" ref="M55" si="26">M53+M54</f>
        <v>181100.05163942114</v>
      </c>
      <c r="N55" s="394">
        <f t="shared" ref="N55" si="27">N53+N54</f>
        <v>181100.05163942114</v>
      </c>
      <c r="O55" s="375">
        <f>SUM(C55:N55)</f>
        <v>2173200.6196730537</v>
      </c>
      <c r="Q55" s="412">
        <f>Q53+Q54</f>
        <v>1095960.9182321094</v>
      </c>
    </row>
    <row r="56" spans="1:17" ht="15.75" x14ac:dyDescent="0.25">
      <c r="A56" s="59" t="s">
        <v>97</v>
      </c>
      <c r="B56" s="147"/>
      <c r="C56" s="379">
        <f>+C55</f>
        <v>181100.05163942114</v>
      </c>
      <c r="D56" s="382">
        <f t="shared" ref="D56" si="28">+D55+C56</f>
        <v>362200.10327884229</v>
      </c>
      <c r="E56" s="382">
        <f t="shared" ref="E56" si="29">+E55+D56</f>
        <v>543300.15491826343</v>
      </c>
      <c r="F56" s="382">
        <f t="shared" ref="F56" si="30">+F55+E56</f>
        <v>724400.20655768458</v>
      </c>
      <c r="G56" s="382">
        <f t="shared" ref="G56" si="31">+G55+F56</f>
        <v>905500.25819710572</v>
      </c>
      <c r="H56" s="382">
        <f t="shared" ref="H56" si="32">+H55+G56</f>
        <v>1086600.3098365269</v>
      </c>
      <c r="I56" s="382">
        <f t="shared" ref="I56" si="33">+I55+H56</f>
        <v>1267700.361475948</v>
      </c>
      <c r="J56" s="382">
        <f t="shared" ref="J56" si="34">+J55+I56</f>
        <v>1448800.4131153692</v>
      </c>
      <c r="K56" s="382">
        <f t="shared" ref="K56" si="35">+K55+J56</f>
        <v>1629900.4647547903</v>
      </c>
      <c r="L56" s="382">
        <f t="shared" ref="L56" si="36">+L55+K56</f>
        <v>1811000.5163942114</v>
      </c>
      <c r="M56" s="382">
        <f t="shared" ref="M56" si="37">+M55+L56</f>
        <v>1992100.5680336326</v>
      </c>
      <c r="N56" s="382">
        <f t="shared" ref="N56" si="38">+N55+M56</f>
        <v>2173200.6196730537</v>
      </c>
      <c r="O56" s="383">
        <f>+N56</f>
        <v>2173200.6196730537</v>
      </c>
      <c r="Q56" s="412">
        <f>Q52-Q55</f>
        <v>1643941.3773481641</v>
      </c>
    </row>
    <row r="60" spans="1:17" ht="15.75" x14ac:dyDescent="0.25">
      <c r="A60" s="625" t="s">
        <v>500</v>
      </c>
      <c r="B60" s="625"/>
      <c r="C60" s="625"/>
      <c r="D60" s="625"/>
      <c r="E60" s="625"/>
      <c r="F60" s="625"/>
      <c r="G60" s="625"/>
      <c r="H60" s="625"/>
      <c r="I60" s="625"/>
      <c r="J60" s="625"/>
      <c r="K60" s="625"/>
      <c r="L60" s="625"/>
      <c r="M60" s="625"/>
      <c r="N60" s="625"/>
      <c r="O60" s="626"/>
    </row>
    <row r="61" spans="1:17" ht="15.75" x14ac:dyDescent="0.25">
      <c r="A61" s="402" t="s">
        <v>78</v>
      </c>
      <c r="B61" s="403"/>
      <c r="C61" s="388" t="s">
        <v>79</v>
      </c>
      <c r="D61" s="388" t="s">
        <v>80</v>
      </c>
      <c r="E61" s="388" t="s">
        <v>81</v>
      </c>
      <c r="F61" s="388" t="s">
        <v>82</v>
      </c>
      <c r="G61" s="388" t="s">
        <v>83</v>
      </c>
      <c r="H61" s="388" t="s">
        <v>84</v>
      </c>
      <c r="I61" s="388" t="s">
        <v>85</v>
      </c>
      <c r="J61" s="388" t="s">
        <v>86</v>
      </c>
      <c r="K61" s="388" t="s">
        <v>87</v>
      </c>
      <c r="L61" s="390" t="s">
        <v>88</v>
      </c>
      <c r="M61" s="388" t="s">
        <v>89</v>
      </c>
      <c r="N61" s="144" t="s">
        <v>90</v>
      </c>
      <c r="O61" s="144" t="s">
        <v>28</v>
      </c>
    </row>
    <row r="62" spans="1:17" ht="15.75" x14ac:dyDescent="0.25">
      <c r="A62" s="404" t="s">
        <v>91</v>
      </c>
      <c r="B62" s="405"/>
      <c r="C62" s="389"/>
      <c r="D62" s="386"/>
      <c r="E62" s="386"/>
      <c r="F62" s="386"/>
      <c r="G62" s="386"/>
      <c r="H62" s="386"/>
      <c r="I62" s="386"/>
      <c r="J62" s="386"/>
      <c r="K62" s="386"/>
      <c r="L62" s="392"/>
      <c r="M62" s="385"/>
      <c r="N62" s="387"/>
      <c r="O62" s="385"/>
      <c r="Q62" s="536" t="s">
        <v>593</v>
      </c>
    </row>
    <row r="63" spans="1:17" ht="15.75" x14ac:dyDescent="0.25">
      <c r="A63" s="406" t="s">
        <v>92</v>
      </c>
      <c r="B63" s="407"/>
      <c r="C63" s="373">
        <f>INGRESOS!B65</f>
        <v>448544.34813551058</v>
      </c>
      <c r="D63" s="373">
        <f>INGRESOS!C65</f>
        <v>448544.34813551058</v>
      </c>
      <c r="E63" s="373">
        <f>INGRESOS!D65</f>
        <v>448544.34813551058</v>
      </c>
      <c r="F63" s="373">
        <f>INGRESOS!E65</f>
        <v>448544.34813551058</v>
      </c>
      <c r="G63" s="373">
        <f>INGRESOS!F65</f>
        <v>448544.34813551058</v>
      </c>
      <c r="H63" s="373">
        <f>INGRESOS!G65</f>
        <v>448544.34813551058</v>
      </c>
      <c r="I63" s="373">
        <f>INGRESOS!H65</f>
        <v>448544.34813551058</v>
      </c>
      <c r="J63" s="373">
        <f>INGRESOS!I65</f>
        <v>448544.34813551058</v>
      </c>
      <c r="K63" s="373">
        <f>INGRESOS!J65</f>
        <v>448544.34813551058</v>
      </c>
      <c r="L63" s="373">
        <f>INGRESOS!K65</f>
        <v>448544.34813551058</v>
      </c>
      <c r="M63" s="373">
        <f>INGRESOS!L65</f>
        <v>448544.34813551058</v>
      </c>
      <c r="N63" s="373">
        <f>INGRESOS!M65</f>
        <v>448544.34813551058</v>
      </c>
      <c r="O63" s="374">
        <f>SUM(C63:N63)</f>
        <v>5382532.1776261264</v>
      </c>
      <c r="Q63" s="535">
        <f>O63-O68</f>
        <v>3193382.1330486997</v>
      </c>
    </row>
    <row r="64" spans="1:17" ht="15.75" x14ac:dyDescent="0.25">
      <c r="A64" s="404" t="s">
        <v>100</v>
      </c>
      <c r="B64" s="405"/>
      <c r="C64" s="393"/>
      <c r="D64" s="384"/>
      <c r="E64" s="378"/>
      <c r="F64" s="378"/>
      <c r="G64" s="378"/>
      <c r="H64" s="378"/>
      <c r="I64" s="378"/>
      <c r="J64" s="378"/>
      <c r="K64" s="378"/>
      <c r="L64" s="391"/>
      <c r="M64" s="378"/>
      <c r="N64" s="375"/>
      <c r="O64" s="377"/>
      <c r="Q64" s="535">
        <f>Q63-25000</f>
        <v>3168382.1330486997</v>
      </c>
    </row>
    <row r="65" spans="1:17" ht="15.75" x14ac:dyDescent="0.25">
      <c r="A65" s="150" t="s">
        <v>94</v>
      </c>
      <c r="B65" s="396"/>
      <c r="C65" s="400">
        <f>COSTOS!B83</f>
        <v>148070.17616867158</v>
      </c>
      <c r="D65" s="400">
        <f>COSTOS!C83</f>
        <v>148070.17616867158</v>
      </c>
      <c r="E65" s="400">
        <f>COSTOS!D83</f>
        <v>148070.17616867158</v>
      </c>
      <c r="F65" s="400">
        <f>COSTOS!E83</f>
        <v>148070.17616867158</v>
      </c>
      <c r="G65" s="400">
        <f>COSTOS!F83</f>
        <v>148070.17616867158</v>
      </c>
      <c r="H65" s="400">
        <f>COSTOS!G83</f>
        <v>148070.17616867158</v>
      </c>
      <c r="I65" s="400">
        <f>COSTOS!H83</f>
        <v>148070.17616867158</v>
      </c>
      <c r="J65" s="400">
        <f>COSTOS!I83</f>
        <v>148070.17616867158</v>
      </c>
      <c r="K65" s="400">
        <f>COSTOS!J83</f>
        <v>148070.17616867158</v>
      </c>
      <c r="L65" s="400">
        <f>COSTOS!K83</f>
        <v>148070.17616867158</v>
      </c>
      <c r="M65" s="400">
        <f>COSTOS!L83</f>
        <v>148070.17616867158</v>
      </c>
      <c r="N65" s="400">
        <f>COSTOS!M83</f>
        <v>148070.17616867158</v>
      </c>
      <c r="O65" s="375">
        <f>SUM(C65:N65)</f>
        <v>1776842.1140240589</v>
      </c>
      <c r="Q65" s="535">
        <f>Q64*0.1</f>
        <v>316838.21330487001</v>
      </c>
    </row>
    <row r="66" spans="1:17" ht="15.75" x14ac:dyDescent="0.25">
      <c r="A66" s="150" t="s">
        <v>95</v>
      </c>
      <c r="B66" s="397"/>
      <c r="C66" s="384">
        <f>COSTOS!B87</f>
        <v>34358.994212780701</v>
      </c>
      <c r="D66" s="384">
        <f>COSTOS!C87</f>
        <v>34358.994212780701</v>
      </c>
      <c r="E66" s="384">
        <f>COSTOS!D87</f>
        <v>34358.994212780701</v>
      </c>
      <c r="F66" s="384">
        <f>COSTOS!E87</f>
        <v>34358.994212780701</v>
      </c>
      <c r="G66" s="384">
        <f>COSTOS!F87</f>
        <v>34358.994212780701</v>
      </c>
      <c r="H66" s="384">
        <f>COSTOS!G87</f>
        <v>34358.994212780701</v>
      </c>
      <c r="I66" s="384">
        <f>COSTOS!H87</f>
        <v>34358.994212780701</v>
      </c>
      <c r="J66" s="384">
        <f>COSTOS!I87</f>
        <v>34358.994212780701</v>
      </c>
      <c r="K66" s="384">
        <f>COSTOS!J87</f>
        <v>34358.994212780701</v>
      </c>
      <c r="L66" s="384">
        <f>COSTOS!K87</f>
        <v>34358.994212780701</v>
      </c>
      <c r="M66" s="384">
        <f>COSTOS!L87</f>
        <v>34358.994212780701</v>
      </c>
      <c r="N66" s="384">
        <f>COSTOS!M87</f>
        <v>34358.994212780701</v>
      </c>
      <c r="O66" s="375">
        <f>SUM(C66:N66)</f>
        <v>412307.93055336853</v>
      </c>
      <c r="Q66" s="535">
        <f>Q64*0.3</f>
        <v>950514.63991460984</v>
      </c>
    </row>
    <row r="67" spans="1:17" ht="15.75" x14ac:dyDescent="0.25">
      <c r="A67" s="14" t="s">
        <v>96</v>
      </c>
      <c r="B67" s="395"/>
      <c r="C67" s="394">
        <f>C65+C66</f>
        <v>182429.17038145228</v>
      </c>
      <c r="D67" s="394">
        <f t="shared" ref="D67" si="39">D65+D66</f>
        <v>182429.17038145228</v>
      </c>
      <c r="E67" s="394">
        <f t="shared" ref="E67" si="40">E65+E66</f>
        <v>182429.17038145228</v>
      </c>
      <c r="F67" s="394">
        <f t="shared" ref="F67" si="41">F65+F66</f>
        <v>182429.17038145228</v>
      </c>
      <c r="G67" s="394">
        <f t="shared" ref="G67" si="42">G65+G66</f>
        <v>182429.17038145228</v>
      </c>
      <c r="H67" s="394">
        <f t="shared" ref="H67" si="43">H65+H66</f>
        <v>182429.17038145228</v>
      </c>
      <c r="I67" s="394">
        <f t="shared" ref="I67" si="44">I65+I66</f>
        <v>182429.17038145228</v>
      </c>
      <c r="J67" s="394">
        <f t="shared" ref="J67" si="45">J65+J66</f>
        <v>182429.17038145228</v>
      </c>
      <c r="K67" s="394">
        <f t="shared" ref="K67" si="46">K65+K66</f>
        <v>182429.17038145228</v>
      </c>
      <c r="L67" s="394">
        <f t="shared" ref="L67" si="47">L65+L66</f>
        <v>182429.17038145228</v>
      </c>
      <c r="M67" s="394">
        <f t="shared" ref="M67" si="48">M65+M66</f>
        <v>182429.17038145228</v>
      </c>
      <c r="N67" s="394">
        <f t="shared" ref="N67" si="49">N65+N66</f>
        <v>182429.17038145228</v>
      </c>
      <c r="O67" s="375">
        <f>SUM(C67:N67)</f>
        <v>2189150.0445774267</v>
      </c>
      <c r="Q67" s="412">
        <f>Q65+Q66</f>
        <v>1267352.8532194798</v>
      </c>
    </row>
    <row r="68" spans="1:17" ht="15.75" x14ac:dyDescent="0.25">
      <c r="A68" s="59" t="s">
        <v>97</v>
      </c>
      <c r="B68" s="147"/>
      <c r="C68" s="379">
        <f>+C67</f>
        <v>182429.17038145228</v>
      </c>
      <c r="D68" s="382">
        <f t="shared" ref="D68" si="50">+D67+C68</f>
        <v>364858.34076290455</v>
      </c>
      <c r="E68" s="382">
        <f t="shared" ref="E68" si="51">+E67+D68</f>
        <v>547287.5111443568</v>
      </c>
      <c r="F68" s="382">
        <f t="shared" ref="F68" si="52">+F67+E68</f>
        <v>729716.68152580911</v>
      </c>
      <c r="G68" s="382">
        <f t="shared" ref="G68" si="53">+G67+F68</f>
        <v>912145.85190726141</v>
      </c>
      <c r="H68" s="382">
        <f t="shared" ref="H68" si="54">+H67+G68</f>
        <v>1094575.0222887136</v>
      </c>
      <c r="I68" s="382">
        <f t="shared" ref="I68" si="55">+I67+H68</f>
        <v>1277004.1926701658</v>
      </c>
      <c r="J68" s="382">
        <f t="shared" ref="J68" si="56">+J67+I68</f>
        <v>1459433.363051618</v>
      </c>
      <c r="K68" s="382">
        <f t="shared" ref="K68" si="57">+K67+J68</f>
        <v>1641862.5334330702</v>
      </c>
      <c r="L68" s="382">
        <f t="shared" ref="L68" si="58">+L67+K68</f>
        <v>1824291.7038145224</v>
      </c>
      <c r="M68" s="382">
        <f t="shared" ref="M68" si="59">+M67+L68</f>
        <v>2006720.8741959746</v>
      </c>
      <c r="N68" s="382">
        <f t="shared" ref="N68" si="60">+N67+M68</f>
        <v>2189150.0445774267</v>
      </c>
      <c r="O68" s="383">
        <f>+N68</f>
        <v>2189150.0445774267</v>
      </c>
      <c r="Q68" s="412">
        <f>Q64-Q67</f>
        <v>1901029.2798292199</v>
      </c>
    </row>
    <row r="76" spans="1:17" ht="18" x14ac:dyDescent="0.25">
      <c r="A76" s="1" t="s">
        <v>102</v>
      </c>
      <c r="B76" s="154"/>
      <c r="C76" s="154"/>
      <c r="D76" s="154"/>
      <c r="E76" s="154"/>
      <c r="F76" s="154"/>
    </row>
    <row r="77" spans="1:17" ht="14.25" x14ac:dyDescent="0.2">
      <c r="A77" s="154"/>
      <c r="B77" s="154"/>
      <c r="C77" s="154"/>
      <c r="D77" s="154"/>
      <c r="E77" s="154"/>
    </row>
    <row r="78" spans="1:17" ht="15.75" x14ac:dyDescent="0.25">
      <c r="A78" s="155" t="s">
        <v>70</v>
      </c>
      <c r="B78" s="156" t="s">
        <v>103</v>
      </c>
      <c r="C78" s="156" t="s">
        <v>104</v>
      </c>
      <c r="D78" s="156" t="s">
        <v>105</v>
      </c>
      <c r="E78" s="156" t="s">
        <v>106</v>
      </c>
      <c r="F78" s="156" t="s">
        <v>107</v>
      </c>
    </row>
    <row r="79" spans="1:17" ht="15.75" x14ac:dyDescent="0.25">
      <c r="A79" s="114" t="s">
        <v>108</v>
      </c>
      <c r="B79" s="338">
        <f>O13</f>
        <v>3655699.0469999998</v>
      </c>
      <c r="C79" s="408">
        <f>O27</f>
        <v>4156302.4284600005</v>
      </c>
      <c r="D79" s="408">
        <f>O40</f>
        <v>4530369.6470214007</v>
      </c>
      <c r="E79" s="408">
        <f>O51</f>
        <v>4938102.9152533272</v>
      </c>
      <c r="F79" s="408">
        <f>O63</f>
        <v>5382532.1776261264</v>
      </c>
    </row>
    <row r="80" spans="1:17" ht="15.75" x14ac:dyDescent="0.25">
      <c r="A80" s="114" t="s">
        <v>109</v>
      </c>
      <c r="B80" s="339">
        <f>O45</f>
        <v>2161538.9148429874</v>
      </c>
      <c r="C80" s="408">
        <f>O32</f>
        <v>2147902.5844228617</v>
      </c>
      <c r="D80" s="408">
        <f>O45</f>
        <v>2161538.9148429874</v>
      </c>
      <c r="E80" s="408">
        <f>O56</f>
        <v>2173200.6196730537</v>
      </c>
      <c r="F80" s="408">
        <f>O68</f>
        <v>2189150.0445774267</v>
      </c>
    </row>
    <row r="81" spans="1:6" ht="15.75" x14ac:dyDescent="0.25">
      <c r="A81" s="114" t="s">
        <v>28</v>
      </c>
      <c r="B81" s="157">
        <f>B79-B80</f>
        <v>1494160.1321570124</v>
      </c>
      <c r="C81" s="157">
        <f>C79-C80</f>
        <v>2008399.8440371389</v>
      </c>
      <c r="D81" s="158">
        <f>+D79-D80</f>
        <v>2368830.7321784133</v>
      </c>
      <c r="E81" s="158">
        <f>+E79-E80</f>
        <v>2764902.2955802735</v>
      </c>
      <c r="F81" s="158">
        <f>+F79-F80</f>
        <v>3193382.1330486997</v>
      </c>
    </row>
    <row r="82" spans="1:6" ht="14.25" x14ac:dyDescent="0.2">
      <c r="A82" s="159"/>
      <c r="B82" s="154"/>
      <c r="C82" s="154"/>
      <c r="D82" s="154"/>
      <c r="E82" s="154"/>
    </row>
  </sheetData>
  <mergeCells count="17">
    <mergeCell ref="A28:B28"/>
    <mergeCell ref="A10:O10"/>
    <mergeCell ref="A11:B11"/>
    <mergeCell ref="A12:B12"/>
    <mergeCell ref="A13:B13"/>
    <mergeCell ref="A14:B14"/>
    <mergeCell ref="A24:O24"/>
    <mergeCell ref="A25:B25"/>
    <mergeCell ref="A26:B26"/>
    <mergeCell ref="A27:B27"/>
    <mergeCell ref="A60:O60"/>
    <mergeCell ref="A48:O48"/>
    <mergeCell ref="A37:O37"/>
    <mergeCell ref="A38:B38"/>
    <mergeCell ref="A39:B39"/>
    <mergeCell ref="A40:B40"/>
    <mergeCell ref="A41:B41"/>
  </mergeCells>
  <pageMargins left="0.45999999999999996" right="0.45999999999999996" top="0.4" bottom="0.28000000000000003" header="0" footer="0"/>
  <pageSetup orientation="landscape" horizontalDpi="300" verticalDpi="300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0584-FD72-44F0-AE72-AEB3AAD91DAD}">
  <dimension ref="A2:P104"/>
  <sheetViews>
    <sheetView zoomScale="57" zoomScaleNormal="57" workbookViewId="0">
      <selection activeCell="V71" sqref="V71"/>
    </sheetView>
    <sheetView topLeftCell="C5" zoomScale="70" zoomScaleNormal="46" workbookViewId="1">
      <selection activeCell="M23" sqref="M23"/>
    </sheetView>
  </sheetViews>
  <sheetFormatPr baseColWidth="10" defaultColWidth="11.42578125" defaultRowHeight="15" x14ac:dyDescent="0.2"/>
  <cols>
    <col min="1" max="1" width="68.28515625" style="13" customWidth="1"/>
    <col min="2" max="3" width="17.140625" style="13" bestFit="1" customWidth="1"/>
    <col min="4" max="9" width="16.42578125" style="13" bestFit="1" customWidth="1"/>
    <col min="10" max="10" width="22.7109375" style="13" customWidth="1"/>
    <col min="11" max="13" width="16.42578125" style="13" bestFit="1" customWidth="1"/>
    <col min="14" max="14" width="17.7109375" style="13" customWidth="1"/>
    <col min="15" max="15" width="14.42578125" style="13" bestFit="1" customWidth="1"/>
    <col min="16" max="16" width="18.85546875" style="13" customWidth="1"/>
    <col min="17" max="16384" width="11.42578125" style="13"/>
  </cols>
  <sheetData>
    <row r="2" spans="1:16" ht="15.75" x14ac:dyDescent="0.25">
      <c r="B2" s="435" t="s">
        <v>110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</row>
    <row r="3" spans="1:16" ht="15.75" x14ac:dyDescent="0.25">
      <c r="A3" s="85" t="s">
        <v>111</v>
      </c>
      <c r="B3" s="370">
        <v>1</v>
      </c>
      <c r="C3" s="370">
        <v>2</v>
      </c>
      <c r="D3" s="370">
        <v>3</v>
      </c>
      <c r="E3" s="370">
        <v>4</v>
      </c>
      <c r="F3" s="370">
        <v>5</v>
      </c>
      <c r="G3" s="370">
        <v>6</v>
      </c>
      <c r="H3" s="370">
        <v>7</v>
      </c>
      <c r="I3" s="370">
        <v>8</v>
      </c>
      <c r="J3" s="370">
        <v>9</v>
      </c>
      <c r="K3" s="370">
        <v>10</v>
      </c>
      <c r="L3" s="370">
        <v>11</v>
      </c>
      <c r="M3" s="370">
        <v>12</v>
      </c>
      <c r="N3" s="370" t="s">
        <v>28</v>
      </c>
    </row>
    <row r="4" spans="1:16" ht="15.75" x14ac:dyDescent="0.25">
      <c r="A4" s="86" t="s">
        <v>112</v>
      </c>
      <c r="B4" s="87">
        <f>SUM(B5:B7)</f>
        <v>91844.450622738514</v>
      </c>
      <c r="C4" s="87">
        <f>SUM(C5:C7)</f>
        <v>91844.450622738514</v>
      </c>
      <c r="D4" s="87">
        <f t="shared" ref="D4:N4" si="0">SUM(D5:D7)</f>
        <v>91844.450622738514</v>
      </c>
      <c r="E4" s="87">
        <f t="shared" si="0"/>
        <v>91844.450622738514</v>
      </c>
      <c r="F4" s="87">
        <f t="shared" si="0"/>
        <v>91844.450622738514</v>
      </c>
      <c r="G4" s="87">
        <f t="shared" si="0"/>
        <v>91844.450622738514</v>
      </c>
      <c r="H4" s="87">
        <f t="shared" si="0"/>
        <v>91844.450622738514</v>
      </c>
      <c r="I4" s="87">
        <f t="shared" si="0"/>
        <v>91844.450622738514</v>
      </c>
      <c r="J4" s="87">
        <f t="shared" si="0"/>
        <v>91844.450622738514</v>
      </c>
      <c r="K4" s="87">
        <f t="shared" si="0"/>
        <v>91844.450622738514</v>
      </c>
      <c r="L4" s="87">
        <f t="shared" si="0"/>
        <v>91844.450622738514</v>
      </c>
      <c r="M4" s="87">
        <f t="shared" si="0"/>
        <v>91844.450622738514</v>
      </c>
      <c r="N4" s="87">
        <f t="shared" si="0"/>
        <v>1102133.4074728624</v>
      </c>
    </row>
    <row r="5" spans="1:16" x14ac:dyDescent="0.2">
      <c r="A5" s="23" t="s">
        <v>113</v>
      </c>
      <c r="B5" s="167">
        <f>'M. DE CALCULO DE COSTOS VARIABL'!$G$26</f>
        <v>52882.5</v>
      </c>
      <c r="C5" s="167">
        <f>'M. DE CALCULO DE COSTOS VARIABL'!$G$26</f>
        <v>52882.5</v>
      </c>
      <c r="D5" s="167">
        <f>'M. DE CALCULO DE COSTOS VARIABL'!$G$26</f>
        <v>52882.5</v>
      </c>
      <c r="E5" s="167">
        <f>'M. DE CALCULO DE COSTOS VARIABL'!$G$26</f>
        <v>52882.5</v>
      </c>
      <c r="F5" s="167">
        <f>'M. DE CALCULO DE COSTOS VARIABL'!$G$26</f>
        <v>52882.5</v>
      </c>
      <c r="G5" s="167">
        <f>'M. DE CALCULO DE COSTOS VARIABL'!$G$26</f>
        <v>52882.5</v>
      </c>
      <c r="H5" s="167">
        <f>'M. DE CALCULO DE COSTOS VARIABL'!$G$26</f>
        <v>52882.5</v>
      </c>
      <c r="I5" s="167">
        <f>'M. DE CALCULO DE COSTOS VARIABL'!$G$26</f>
        <v>52882.5</v>
      </c>
      <c r="J5" s="167">
        <f>'M. DE CALCULO DE COSTOS VARIABL'!$G$26</f>
        <v>52882.5</v>
      </c>
      <c r="K5" s="167">
        <f>'M. DE CALCULO DE COSTOS VARIABL'!$G$26</f>
        <v>52882.5</v>
      </c>
      <c r="L5" s="167">
        <f>'M. DE CALCULO DE COSTOS VARIABL'!$G$26</f>
        <v>52882.5</v>
      </c>
      <c r="M5" s="167">
        <f>'M. DE CALCULO DE COSTOS VARIABL'!$G$26</f>
        <v>52882.5</v>
      </c>
      <c r="N5" s="98">
        <f t="shared" ref="N5:N10" si="1">SUM(B5:M5)</f>
        <v>634590</v>
      </c>
    </row>
    <row r="6" spans="1:16" x14ac:dyDescent="0.2">
      <c r="A6" s="23" t="s">
        <v>114</v>
      </c>
      <c r="B6" s="167">
        <f>'M. DE CALCULO DE COSTOS VARIABL'!$D$27</f>
        <v>16729.14</v>
      </c>
      <c r="C6" s="167">
        <f>'M. DE CALCULO DE COSTOS VARIABL'!$D$27</f>
        <v>16729.14</v>
      </c>
      <c r="D6" s="167">
        <f>'M. DE CALCULO DE COSTOS VARIABL'!$D$27</f>
        <v>16729.14</v>
      </c>
      <c r="E6" s="167">
        <f>'M. DE CALCULO DE COSTOS VARIABL'!$D$27</f>
        <v>16729.14</v>
      </c>
      <c r="F6" s="167">
        <f>'M. DE CALCULO DE COSTOS VARIABL'!$D$27</f>
        <v>16729.14</v>
      </c>
      <c r="G6" s="167">
        <f>'M. DE CALCULO DE COSTOS VARIABL'!$D$27</f>
        <v>16729.14</v>
      </c>
      <c r="H6" s="167">
        <f>'M. DE CALCULO DE COSTOS VARIABL'!$D$27</f>
        <v>16729.14</v>
      </c>
      <c r="I6" s="167">
        <f>'M. DE CALCULO DE COSTOS VARIABL'!$D$27</f>
        <v>16729.14</v>
      </c>
      <c r="J6" s="167">
        <f>'M. DE CALCULO DE COSTOS VARIABL'!$D$27</f>
        <v>16729.14</v>
      </c>
      <c r="K6" s="167">
        <f>'M. DE CALCULO DE COSTOS VARIABL'!$D$27</f>
        <v>16729.14</v>
      </c>
      <c r="L6" s="167">
        <f>'M. DE CALCULO DE COSTOS VARIABL'!$D$27</f>
        <v>16729.14</v>
      </c>
      <c r="M6" s="167">
        <f>'M. DE CALCULO DE COSTOS VARIABL'!$D$27</f>
        <v>16729.14</v>
      </c>
      <c r="N6" s="98">
        <f t="shared" si="1"/>
        <v>200749.68000000005</v>
      </c>
    </row>
    <row r="7" spans="1:16" x14ac:dyDescent="0.2">
      <c r="A7" s="88" t="s">
        <v>115</v>
      </c>
      <c r="B7" s="221">
        <f>'M. DE CALCULO DE COSTOS VARIABL'!$E$42</f>
        <v>22232.810622738518</v>
      </c>
      <c r="C7" s="221">
        <f>'M. DE CALCULO DE COSTOS VARIABL'!$E$42</f>
        <v>22232.810622738518</v>
      </c>
      <c r="D7" s="221">
        <f>'M. DE CALCULO DE COSTOS VARIABL'!$E$42</f>
        <v>22232.810622738518</v>
      </c>
      <c r="E7" s="221">
        <f>'M. DE CALCULO DE COSTOS VARIABL'!$E$42</f>
        <v>22232.810622738518</v>
      </c>
      <c r="F7" s="221">
        <f>'M. DE CALCULO DE COSTOS VARIABL'!$E$42</f>
        <v>22232.810622738518</v>
      </c>
      <c r="G7" s="221">
        <f>'M. DE CALCULO DE COSTOS VARIABL'!$E$42</f>
        <v>22232.810622738518</v>
      </c>
      <c r="H7" s="221">
        <f>'M. DE CALCULO DE COSTOS VARIABL'!$E$42</f>
        <v>22232.810622738518</v>
      </c>
      <c r="I7" s="221">
        <f>'M. DE CALCULO DE COSTOS VARIABL'!$E$42</f>
        <v>22232.810622738518</v>
      </c>
      <c r="J7" s="221">
        <f>'M. DE CALCULO DE COSTOS VARIABL'!$E$42</f>
        <v>22232.810622738518</v>
      </c>
      <c r="K7" s="221">
        <f>'M. DE CALCULO DE COSTOS VARIABL'!$E$42</f>
        <v>22232.810622738518</v>
      </c>
      <c r="L7" s="221">
        <f>'M. DE CALCULO DE COSTOS VARIABL'!$E$42</f>
        <v>22232.810622738518</v>
      </c>
      <c r="M7" s="221">
        <f>'M. DE CALCULO DE COSTOS VARIABL'!$E$42</f>
        <v>22232.810622738518</v>
      </c>
      <c r="N7" s="98">
        <f t="shared" si="1"/>
        <v>266793.72747286229</v>
      </c>
    </row>
    <row r="8" spans="1:16" ht="15.75" x14ac:dyDescent="0.25">
      <c r="A8" s="86" t="s">
        <v>116</v>
      </c>
      <c r="B8" s="89">
        <f>B9+B10</f>
        <v>33666.692999999999</v>
      </c>
      <c r="C8" s="89">
        <f t="shared" ref="C8:M8" si="2">SUM(C9:C10)</f>
        <v>39716.725999999995</v>
      </c>
      <c r="D8" s="89">
        <f t="shared" si="2"/>
        <v>33666.692999999999</v>
      </c>
      <c r="E8" s="89">
        <f t="shared" si="2"/>
        <v>33666.692999999999</v>
      </c>
      <c r="F8" s="89">
        <f t="shared" si="2"/>
        <v>33666.692999999999</v>
      </c>
      <c r="G8" s="89">
        <f t="shared" si="2"/>
        <v>33666.692999999999</v>
      </c>
      <c r="H8" s="89">
        <f t="shared" si="2"/>
        <v>33666.692999999999</v>
      </c>
      <c r="I8" s="89">
        <f t="shared" si="2"/>
        <v>33666.692999999999</v>
      </c>
      <c r="J8" s="89">
        <f t="shared" si="2"/>
        <v>33666.692999999999</v>
      </c>
      <c r="K8" s="89">
        <f t="shared" si="2"/>
        <v>33666.692999999999</v>
      </c>
      <c r="L8" s="89">
        <f t="shared" si="2"/>
        <v>33666.692999999999</v>
      </c>
      <c r="M8" s="89">
        <f t="shared" si="2"/>
        <v>33666.692999999999</v>
      </c>
      <c r="N8" s="89">
        <f t="shared" si="1"/>
        <v>410050.34899999993</v>
      </c>
    </row>
    <row r="9" spans="1:16" x14ac:dyDescent="0.2">
      <c r="A9" s="58" t="s">
        <v>117</v>
      </c>
      <c r="B9" s="219">
        <f>'M. DE CALCULO DE GASTOS FIJOS'!F13</f>
        <v>17050.07</v>
      </c>
      <c r="C9" s="219">
        <f>'M. DE CALCULO DE GASTOS FIJOS'!G13</f>
        <v>17050.07</v>
      </c>
      <c r="D9" s="219">
        <f>'M. DE CALCULO DE GASTOS FIJOS'!H13</f>
        <v>17050.07</v>
      </c>
      <c r="E9" s="219">
        <f>'M. DE CALCULO DE GASTOS FIJOS'!I13</f>
        <v>17050.07</v>
      </c>
      <c r="F9" s="219">
        <f>'M. DE CALCULO DE GASTOS FIJOS'!J13</f>
        <v>17050.07</v>
      </c>
      <c r="G9" s="219">
        <f>'M. DE CALCULO DE GASTOS FIJOS'!K13</f>
        <v>17050.07</v>
      </c>
      <c r="H9" s="219">
        <f>'M. DE CALCULO DE GASTOS FIJOS'!L13</f>
        <v>17050.07</v>
      </c>
      <c r="I9" s="219">
        <f>'M. DE CALCULO DE GASTOS FIJOS'!M13</f>
        <v>17050.07</v>
      </c>
      <c r="J9" s="219">
        <f>'M. DE CALCULO DE GASTOS FIJOS'!N13</f>
        <v>17050.07</v>
      </c>
      <c r="K9" s="219">
        <f>'M. DE CALCULO DE GASTOS FIJOS'!O13</f>
        <v>17050.07</v>
      </c>
      <c r="L9" s="219">
        <f>'M. DE CALCULO DE GASTOS FIJOS'!P13</f>
        <v>17050.07</v>
      </c>
      <c r="M9" s="219">
        <f>'M. DE CALCULO DE GASTOS FIJOS'!Q13</f>
        <v>17050.07</v>
      </c>
      <c r="N9" s="70">
        <f>SUM(B9:M9)</f>
        <v>204600.84000000005</v>
      </c>
    </row>
    <row r="10" spans="1:16" x14ac:dyDescent="0.2">
      <c r="A10" s="58" t="s">
        <v>118</v>
      </c>
      <c r="B10" s="219">
        <f>'M. DE CALCULO DE GASTOS FIJOS'!F21</f>
        <v>16616.623</v>
      </c>
      <c r="C10" s="219">
        <f>'M. DE CALCULO DE GASTOS FIJOS'!G21</f>
        <v>22666.655999999999</v>
      </c>
      <c r="D10" s="219">
        <f>'M. DE CALCULO DE GASTOS FIJOS'!H21</f>
        <v>16616.623</v>
      </c>
      <c r="E10" s="219">
        <f>'M. DE CALCULO DE GASTOS FIJOS'!I21</f>
        <v>16616.623</v>
      </c>
      <c r="F10" s="219">
        <f>'M. DE CALCULO DE GASTOS FIJOS'!J21</f>
        <v>16616.623</v>
      </c>
      <c r="G10" s="219">
        <f>'M. DE CALCULO DE GASTOS FIJOS'!K21</f>
        <v>16616.623</v>
      </c>
      <c r="H10" s="219">
        <f>'M. DE CALCULO DE GASTOS FIJOS'!L21</f>
        <v>16616.623</v>
      </c>
      <c r="I10" s="219">
        <f>'M. DE CALCULO DE GASTOS FIJOS'!M21</f>
        <v>16616.623</v>
      </c>
      <c r="J10" s="219">
        <f>'M. DE CALCULO DE GASTOS FIJOS'!N21</f>
        <v>16616.623</v>
      </c>
      <c r="K10" s="219">
        <f>'M. DE CALCULO DE GASTOS FIJOS'!O21</f>
        <v>16616.623</v>
      </c>
      <c r="L10" s="219">
        <f>'M. DE CALCULO DE GASTOS FIJOS'!P21</f>
        <v>16616.623</v>
      </c>
      <c r="M10" s="219">
        <f>'M. DE CALCULO DE GASTOS FIJOS'!Q21</f>
        <v>16616.623</v>
      </c>
      <c r="N10" s="70">
        <f t="shared" si="1"/>
        <v>205449.50899999993</v>
      </c>
    </row>
    <row r="11" spans="1:16" x14ac:dyDescent="0.2">
      <c r="A11" s="90" t="s">
        <v>119</v>
      </c>
      <c r="B11" s="91">
        <f t="shared" ref="B11:N11" si="3">+B8+B4</f>
        <v>125511.14362273851</v>
      </c>
      <c r="C11" s="91">
        <f t="shared" si="3"/>
        <v>131561.17662273851</v>
      </c>
      <c r="D11" s="91">
        <f t="shared" si="3"/>
        <v>125511.14362273851</v>
      </c>
      <c r="E11" s="91">
        <f t="shared" si="3"/>
        <v>125511.14362273851</v>
      </c>
      <c r="F11" s="91">
        <f t="shared" si="3"/>
        <v>125511.14362273851</v>
      </c>
      <c r="G11" s="91">
        <f t="shared" si="3"/>
        <v>125511.14362273851</v>
      </c>
      <c r="H11" s="91">
        <f t="shared" si="3"/>
        <v>125511.14362273851</v>
      </c>
      <c r="I11" s="91">
        <f t="shared" si="3"/>
        <v>125511.14362273851</v>
      </c>
      <c r="J11" s="91">
        <f t="shared" si="3"/>
        <v>125511.14362273851</v>
      </c>
      <c r="K11" s="91">
        <f t="shared" si="3"/>
        <v>125511.14362273851</v>
      </c>
      <c r="L11" s="91">
        <f t="shared" si="3"/>
        <v>125511.14362273851</v>
      </c>
      <c r="M11" s="91">
        <f t="shared" si="3"/>
        <v>125511.14362273851</v>
      </c>
      <c r="N11" s="100">
        <f t="shared" si="3"/>
        <v>1512183.7564728623</v>
      </c>
    </row>
    <row r="12" spans="1:16" ht="15.75" x14ac:dyDescent="0.25">
      <c r="B12" s="286">
        <f>B11/3000</f>
        <v>41.837047874246174</v>
      </c>
      <c r="C12" s="286">
        <f t="shared" ref="C12:L12" si="4">C11/3000</f>
        <v>43.853725540912833</v>
      </c>
      <c r="D12" s="286">
        <f t="shared" si="4"/>
        <v>41.837047874246174</v>
      </c>
      <c r="E12" s="286">
        <f t="shared" si="4"/>
        <v>41.837047874246174</v>
      </c>
      <c r="F12" s="286">
        <f t="shared" si="4"/>
        <v>41.837047874246174</v>
      </c>
      <c r="G12" s="286">
        <f t="shared" si="4"/>
        <v>41.837047874246174</v>
      </c>
      <c r="H12" s="286">
        <f t="shared" si="4"/>
        <v>41.837047874246174</v>
      </c>
      <c r="I12" s="286">
        <f t="shared" si="4"/>
        <v>41.837047874246174</v>
      </c>
      <c r="J12" s="286">
        <f t="shared" si="4"/>
        <v>41.837047874246174</v>
      </c>
      <c r="K12" s="286">
        <f t="shared" si="4"/>
        <v>41.837047874246174</v>
      </c>
      <c r="L12" s="286">
        <f t="shared" si="4"/>
        <v>41.837047874246174</v>
      </c>
      <c r="M12" s="286">
        <f>M11/3000</f>
        <v>41.837047874246174</v>
      </c>
    </row>
    <row r="14" spans="1:16" ht="15.75" x14ac:dyDescent="0.25">
      <c r="J14" s="522" t="s">
        <v>120</v>
      </c>
      <c r="K14" s="523"/>
      <c r="L14" s="523"/>
      <c r="M14" s="523"/>
      <c r="N14" s="524"/>
    </row>
    <row r="15" spans="1:16" ht="15.75" x14ac:dyDescent="0.25">
      <c r="A15" s="85" t="s">
        <v>111</v>
      </c>
      <c r="B15" s="370" t="s">
        <v>121</v>
      </c>
      <c r="C15" s="370" t="s">
        <v>122</v>
      </c>
      <c r="D15" s="370" t="s">
        <v>123</v>
      </c>
      <c r="E15" s="370" t="s">
        <v>124</v>
      </c>
      <c r="F15" s="370" t="s">
        <v>125</v>
      </c>
      <c r="G15" s="370" t="s">
        <v>126</v>
      </c>
      <c r="J15" s="525" t="s">
        <v>127</v>
      </c>
      <c r="K15" s="525"/>
      <c r="L15" s="525"/>
      <c r="M15" s="532">
        <f>AVERAGE(B12:M12)</f>
        <v>42.005104346468407</v>
      </c>
      <c r="N15" s="526">
        <f>M15*1500</f>
        <v>63007.656519702614</v>
      </c>
      <c r="P15" s="517" t="s">
        <v>591</v>
      </c>
    </row>
    <row r="16" spans="1:16" ht="15.75" x14ac:dyDescent="0.25">
      <c r="A16" s="86" t="s">
        <v>112</v>
      </c>
      <c r="B16" s="92">
        <f>SUM(B17:B19)</f>
        <v>1102133.4074728624</v>
      </c>
      <c r="C16" s="92">
        <f>SUM(C17:C19)</f>
        <v>1730377.5074728625</v>
      </c>
      <c r="D16" s="92" cm="1">
        <f t="array" ref="D16:D23">N44:N51</f>
        <v>1741856.2600228623</v>
      </c>
      <c r="E16" s="92" cm="1">
        <f t="array" ref="E16:E23">N57:N64</f>
        <v>1753426.1219589869</v>
      </c>
      <c r="F16" s="92" cm="1">
        <f t="array" ref="F16:F23">N70:N77</f>
        <v>1765087.8267890534</v>
      </c>
      <c r="G16" s="92" cm="1">
        <f t="array" ref="G16:G23">N83:N90</f>
        <v>1776842.1140240591</v>
      </c>
      <c r="J16" s="527" t="s">
        <v>128</v>
      </c>
      <c r="K16" s="528"/>
      <c r="L16" s="529"/>
      <c r="M16" s="533">
        <v>97.5</v>
      </c>
      <c r="N16" s="530">
        <f>M16*1500</f>
        <v>146250</v>
      </c>
      <c r="P16" s="3">
        <v>80</v>
      </c>
    </row>
    <row r="17" spans="1:16" x14ac:dyDescent="0.2">
      <c r="A17" s="23" t="s">
        <v>113</v>
      </c>
      <c r="B17" s="93">
        <f t="shared" ref="B17:B22" si="5">N5</f>
        <v>634590</v>
      </c>
      <c r="C17" s="93">
        <f>N30</f>
        <v>1262834.1000000003</v>
      </c>
      <c r="D17" s="93">
        <v>1272305.3557500001</v>
      </c>
      <c r="E17" s="93">
        <v>1281847.6459181246</v>
      </c>
      <c r="F17" s="93">
        <v>1291461.5032625112</v>
      </c>
      <c r="G17" s="93">
        <v>1301147.46453698</v>
      </c>
      <c r="J17" s="527" t="s">
        <v>129</v>
      </c>
      <c r="K17" s="528"/>
      <c r="L17" s="529"/>
      <c r="M17" s="534">
        <f>M16-M15</f>
        <v>55.494895653531593</v>
      </c>
      <c r="N17" s="531">
        <f>N16-N15</f>
        <v>83242.343480297393</v>
      </c>
      <c r="P17" s="3">
        <v>90</v>
      </c>
    </row>
    <row r="18" spans="1:16" ht="15.75" x14ac:dyDescent="0.25">
      <c r="A18" s="88" t="s">
        <v>114</v>
      </c>
      <c r="B18" s="93">
        <f t="shared" si="5"/>
        <v>200749.68000000005</v>
      </c>
      <c r="C18" s="93">
        <f t="shared" ref="C18:C19" si="6">N31</f>
        <v>200749.68000000005</v>
      </c>
      <c r="D18" s="93">
        <v>202757.17680000002</v>
      </c>
      <c r="E18" s="93">
        <v>204784.74856800007</v>
      </c>
      <c r="F18" s="93">
        <v>206832.59605368003</v>
      </c>
      <c r="G18" s="93">
        <v>208900.92201421681</v>
      </c>
      <c r="J18" s="522" t="s">
        <v>130</v>
      </c>
      <c r="K18" s="523"/>
      <c r="L18" s="523"/>
      <c r="M18" s="523"/>
      <c r="N18" s="524"/>
      <c r="P18" s="3">
        <v>120</v>
      </c>
    </row>
    <row r="19" spans="1:16" ht="15.75" x14ac:dyDescent="0.25">
      <c r="A19" s="88" t="s">
        <v>115</v>
      </c>
      <c r="B19" s="93">
        <f t="shared" si="5"/>
        <v>266793.72747286229</v>
      </c>
      <c r="C19" s="93">
        <f t="shared" si="6"/>
        <v>266793.72747286229</v>
      </c>
      <c r="D19" s="93">
        <v>266793.72747286229</v>
      </c>
      <c r="E19" s="93">
        <v>266793.72747286229</v>
      </c>
      <c r="F19" s="93">
        <v>266793.72747286229</v>
      </c>
      <c r="G19" s="93">
        <v>266793.72747286229</v>
      </c>
      <c r="J19" s="525" t="s">
        <v>127</v>
      </c>
      <c r="K19" s="525"/>
      <c r="L19" s="525"/>
      <c r="M19" s="532">
        <f>E41</f>
        <v>59.486561412287109</v>
      </c>
      <c r="N19" s="526">
        <f>M19*2990</f>
        <v>177864.81862273844</v>
      </c>
      <c r="P19" s="3">
        <v>100</v>
      </c>
    </row>
    <row r="20" spans="1:16" ht="15.75" x14ac:dyDescent="0.25">
      <c r="A20" s="86" t="s">
        <v>116</v>
      </c>
      <c r="B20" s="95">
        <f t="shared" si="5"/>
        <v>410050.34899999993</v>
      </c>
      <c r="C20" s="95">
        <f>N33</f>
        <v>404000.31599999988</v>
      </c>
      <c r="D20" s="95">
        <v>406046.32440000004</v>
      </c>
      <c r="E20" s="95">
        <v>408112.79288399994</v>
      </c>
      <c r="F20" s="95">
        <v>410199.9260528399</v>
      </c>
      <c r="G20" s="95">
        <v>412307.93055336853</v>
      </c>
      <c r="J20" s="527" t="s">
        <v>128</v>
      </c>
      <c r="K20" s="528"/>
      <c r="L20" s="529"/>
      <c r="M20" s="533">
        <f>97.5</f>
        <v>97.5</v>
      </c>
      <c r="N20" s="530">
        <f>M20*2990</f>
        <v>291525</v>
      </c>
      <c r="P20" s="3">
        <f>AVERAGE(P16:P19)</f>
        <v>97.5</v>
      </c>
    </row>
    <row r="21" spans="1:16" x14ac:dyDescent="0.2">
      <c r="A21" s="58" t="s">
        <v>117</v>
      </c>
      <c r="B21" s="70">
        <f t="shared" si="5"/>
        <v>204600.84000000005</v>
      </c>
      <c r="C21" s="367">
        <f t="shared" ref="C21:C22" si="7">N34</f>
        <v>204600.84000000005</v>
      </c>
      <c r="D21" s="70">
        <v>206646.84840000005</v>
      </c>
      <c r="E21" s="70">
        <v>208713.316884</v>
      </c>
      <c r="F21" s="70">
        <v>210800.45005284005</v>
      </c>
      <c r="G21" s="70">
        <v>212908.45455336847</v>
      </c>
      <c r="J21" s="527" t="s">
        <v>129</v>
      </c>
      <c r="K21" s="528"/>
      <c r="L21" s="529"/>
      <c r="M21" s="534">
        <f>M20-M19</f>
        <v>38.013438587712891</v>
      </c>
      <c r="N21" s="531">
        <f>N20-N19</f>
        <v>113660.18137726156</v>
      </c>
    </row>
    <row r="22" spans="1:16" x14ac:dyDescent="0.2">
      <c r="A22" s="58" t="s">
        <v>118</v>
      </c>
      <c r="B22" s="70">
        <f t="shared" si="5"/>
        <v>205449.50899999993</v>
      </c>
      <c r="C22" s="367">
        <f t="shared" si="7"/>
        <v>199399.47599999994</v>
      </c>
      <c r="D22" s="70">
        <v>199399.47599999994</v>
      </c>
      <c r="E22" s="70">
        <v>199399.47599999994</v>
      </c>
      <c r="F22" s="70">
        <v>199399.47599999994</v>
      </c>
      <c r="G22" s="70">
        <v>199399.47599999994</v>
      </c>
      <c r="P22" s="517" t="s">
        <v>592</v>
      </c>
    </row>
    <row r="23" spans="1:16" ht="15.75" x14ac:dyDescent="0.25">
      <c r="A23" s="96" t="s">
        <v>119</v>
      </c>
      <c r="B23" s="92">
        <f>B16+B20</f>
        <v>1512183.7564728623</v>
      </c>
      <c r="C23" s="92">
        <f>C16+C20</f>
        <v>2134377.8234728621</v>
      </c>
      <c r="D23" s="92">
        <v>2147902.5844228622</v>
      </c>
      <c r="E23" s="92">
        <v>2161538.914842987</v>
      </c>
      <c r="F23" s="92">
        <v>2175287.7528418931</v>
      </c>
      <c r="G23" s="92">
        <v>2189150.0445774277</v>
      </c>
      <c r="P23" s="3">
        <v>1.99</v>
      </c>
    </row>
    <row r="24" spans="1:16" x14ac:dyDescent="0.2">
      <c r="F24" s="97"/>
    </row>
    <row r="25" spans="1:16" x14ac:dyDescent="0.2">
      <c r="F25" s="97"/>
    </row>
    <row r="26" spans="1:16" x14ac:dyDescent="0.2">
      <c r="F26" s="97"/>
    </row>
    <row r="27" spans="1:16" ht="15.75" x14ac:dyDescent="0.25">
      <c r="B27" s="435" t="s">
        <v>131</v>
      </c>
      <c r="C27" s="435"/>
      <c r="D27" s="435"/>
      <c r="E27" s="435"/>
      <c r="F27" s="435"/>
      <c r="G27" s="435"/>
      <c r="H27" s="435"/>
      <c r="I27" s="435"/>
      <c r="J27" s="435"/>
      <c r="K27" s="435"/>
      <c r="L27" s="435"/>
      <c r="M27" s="435"/>
      <c r="N27" s="435"/>
    </row>
    <row r="28" spans="1:16" ht="15.75" x14ac:dyDescent="0.25">
      <c r="A28" s="85" t="s">
        <v>111</v>
      </c>
      <c r="B28" s="370">
        <v>1</v>
      </c>
      <c r="C28" s="370">
        <v>2</v>
      </c>
      <c r="D28" s="370">
        <v>3</v>
      </c>
      <c r="E28" s="370">
        <v>4</v>
      </c>
      <c r="F28" s="370">
        <v>5</v>
      </c>
      <c r="G28" s="370">
        <v>6</v>
      </c>
      <c r="H28" s="370">
        <v>7</v>
      </c>
      <c r="I28" s="370">
        <v>8</v>
      </c>
      <c r="J28" s="370">
        <v>9</v>
      </c>
      <c r="K28" s="370">
        <v>10</v>
      </c>
      <c r="L28" s="370">
        <v>11</v>
      </c>
      <c r="M28" s="370">
        <v>12</v>
      </c>
      <c r="N28" s="370" t="s">
        <v>28</v>
      </c>
    </row>
    <row r="29" spans="1:16" ht="15.75" x14ac:dyDescent="0.25">
      <c r="A29" s="86" t="s">
        <v>112</v>
      </c>
      <c r="B29" s="87">
        <f>SUM(B30:B32)</f>
        <v>144198.12562273853</v>
      </c>
      <c r="C29" s="87">
        <f>SUM(C30:C32)</f>
        <v>144198.12562273853</v>
      </c>
      <c r="D29" s="87">
        <f t="shared" ref="D29:M29" si="8">SUM(D30:D32)</f>
        <v>144198.12562273853</v>
      </c>
      <c r="E29" s="87">
        <f t="shared" si="8"/>
        <v>144198.12562273853</v>
      </c>
      <c r="F29" s="87">
        <f t="shared" si="8"/>
        <v>144198.12562273853</v>
      </c>
      <c r="G29" s="87">
        <f t="shared" si="8"/>
        <v>144198.12562273853</v>
      </c>
      <c r="H29" s="87">
        <f t="shared" si="8"/>
        <v>144198.12562273853</v>
      </c>
      <c r="I29" s="87">
        <f t="shared" si="8"/>
        <v>144198.12562273853</v>
      </c>
      <c r="J29" s="87">
        <f t="shared" si="8"/>
        <v>144198.12562273853</v>
      </c>
      <c r="K29" s="87">
        <f>SUM(K30:K32)</f>
        <v>144198.12562273853</v>
      </c>
      <c r="L29" s="87">
        <f t="shared" si="8"/>
        <v>144198.12562273853</v>
      </c>
      <c r="M29" s="87">
        <f t="shared" si="8"/>
        <v>144198.12562273853</v>
      </c>
      <c r="N29" s="87">
        <f>SUM(N30:N32)</f>
        <v>1730377.5074728625</v>
      </c>
    </row>
    <row r="30" spans="1:16" x14ac:dyDescent="0.2">
      <c r="A30" s="23" t="s">
        <v>113</v>
      </c>
      <c r="B30" s="167">
        <f>'M. DE CALCULO DE COSTOS VARIABL'!$G$26*$P$23</f>
        <v>105236.175</v>
      </c>
      <c r="C30" s="167">
        <f>'M. DE CALCULO DE COSTOS VARIABL'!$G$26*$P$23</f>
        <v>105236.175</v>
      </c>
      <c r="D30" s="167">
        <f>'M. DE CALCULO DE COSTOS VARIABL'!$G$26*$P$23</f>
        <v>105236.175</v>
      </c>
      <c r="E30" s="167">
        <f>'M. DE CALCULO DE COSTOS VARIABL'!$G$26*$P$23</f>
        <v>105236.175</v>
      </c>
      <c r="F30" s="167">
        <f>'M. DE CALCULO DE COSTOS VARIABL'!$G$26*$P$23</f>
        <v>105236.175</v>
      </c>
      <c r="G30" s="167">
        <f>'M. DE CALCULO DE COSTOS VARIABL'!$G$26*$P$23</f>
        <v>105236.175</v>
      </c>
      <c r="H30" s="167">
        <f>'M. DE CALCULO DE COSTOS VARIABL'!$G$26*$P$23</f>
        <v>105236.175</v>
      </c>
      <c r="I30" s="167">
        <f>'M. DE CALCULO DE COSTOS VARIABL'!$G$26*$P$23</f>
        <v>105236.175</v>
      </c>
      <c r="J30" s="167">
        <f>'M. DE CALCULO DE COSTOS VARIABL'!$G$26*$P$23</f>
        <v>105236.175</v>
      </c>
      <c r="K30" s="167">
        <f>'M. DE CALCULO DE COSTOS VARIABL'!$G$26*$P$23</f>
        <v>105236.175</v>
      </c>
      <c r="L30" s="167">
        <f>'M. DE CALCULO DE COSTOS VARIABL'!$G$26*$P$23</f>
        <v>105236.175</v>
      </c>
      <c r="M30" s="167">
        <f>'M. DE CALCULO DE COSTOS VARIABL'!$G$26*$P$23</f>
        <v>105236.175</v>
      </c>
      <c r="N30" s="98">
        <f t="shared" ref="N30:N35" si="9">SUM(B30:M30)</f>
        <v>1262834.1000000003</v>
      </c>
    </row>
    <row r="31" spans="1:16" x14ac:dyDescent="0.2">
      <c r="A31" s="23" t="s">
        <v>114</v>
      </c>
      <c r="B31" s="167">
        <f>$B$6</f>
        <v>16729.14</v>
      </c>
      <c r="C31" s="167">
        <f t="shared" ref="C31:M31" si="10">$B$6</f>
        <v>16729.14</v>
      </c>
      <c r="D31" s="167">
        <f t="shared" si="10"/>
        <v>16729.14</v>
      </c>
      <c r="E31" s="167">
        <f t="shared" si="10"/>
        <v>16729.14</v>
      </c>
      <c r="F31" s="167">
        <f t="shared" si="10"/>
        <v>16729.14</v>
      </c>
      <c r="G31" s="167">
        <f t="shared" si="10"/>
        <v>16729.14</v>
      </c>
      <c r="H31" s="167">
        <f t="shared" si="10"/>
        <v>16729.14</v>
      </c>
      <c r="I31" s="167">
        <f t="shared" si="10"/>
        <v>16729.14</v>
      </c>
      <c r="J31" s="167">
        <f t="shared" si="10"/>
        <v>16729.14</v>
      </c>
      <c r="K31" s="167">
        <f t="shared" si="10"/>
        <v>16729.14</v>
      </c>
      <c r="L31" s="167">
        <f t="shared" si="10"/>
        <v>16729.14</v>
      </c>
      <c r="M31" s="167">
        <f t="shared" si="10"/>
        <v>16729.14</v>
      </c>
      <c r="N31" s="98">
        <f t="shared" si="9"/>
        <v>200749.68000000005</v>
      </c>
    </row>
    <row r="32" spans="1:16" x14ac:dyDescent="0.2">
      <c r="A32" s="88" t="s">
        <v>115</v>
      </c>
      <c r="B32" s="221">
        <f>'M. DE CALCULO DE COSTOS VARIABL'!$F$42</f>
        <v>22232.810622738518</v>
      </c>
      <c r="C32" s="221">
        <f>'M. DE CALCULO DE COSTOS VARIABL'!$F$42</f>
        <v>22232.810622738518</v>
      </c>
      <c r="D32" s="221">
        <f>'M. DE CALCULO DE COSTOS VARIABL'!$F$42</f>
        <v>22232.810622738518</v>
      </c>
      <c r="E32" s="221">
        <f>'M. DE CALCULO DE COSTOS VARIABL'!$F$42</f>
        <v>22232.810622738518</v>
      </c>
      <c r="F32" s="221">
        <f>'M. DE CALCULO DE COSTOS VARIABL'!$F$42</f>
        <v>22232.810622738518</v>
      </c>
      <c r="G32" s="221">
        <f>'M. DE CALCULO DE COSTOS VARIABL'!$F$42</f>
        <v>22232.810622738518</v>
      </c>
      <c r="H32" s="221">
        <f>'M. DE CALCULO DE COSTOS VARIABL'!$F$42</f>
        <v>22232.810622738518</v>
      </c>
      <c r="I32" s="221">
        <f>'M. DE CALCULO DE COSTOS VARIABL'!$F$42</f>
        <v>22232.810622738518</v>
      </c>
      <c r="J32" s="221">
        <f>'M. DE CALCULO DE COSTOS VARIABL'!$F$42</f>
        <v>22232.810622738518</v>
      </c>
      <c r="K32" s="221">
        <f>'M. DE CALCULO DE COSTOS VARIABL'!$F$42</f>
        <v>22232.810622738518</v>
      </c>
      <c r="L32" s="221">
        <f>'M. DE CALCULO DE COSTOS VARIABL'!$F$42</f>
        <v>22232.810622738518</v>
      </c>
      <c r="M32" s="221">
        <f>'M. DE CALCULO DE COSTOS VARIABL'!$F$42</f>
        <v>22232.810622738518</v>
      </c>
      <c r="N32" s="98">
        <f t="shared" si="9"/>
        <v>266793.72747286229</v>
      </c>
    </row>
    <row r="33" spans="1:14" ht="15.75" x14ac:dyDescent="0.25">
      <c r="A33" s="86" t="s">
        <v>116</v>
      </c>
      <c r="B33" s="89">
        <f>B34+B35</f>
        <v>33666.692999999999</v>
      </c>
      <c r="C33" s="89">
        <f t="shared" ref="C33:M33" si="11">SUM(C34:C35)</f>
        <v>33666.692999999999</v>
      </c>
      <c r="D33" s="89">
        <f t="shared" si="11"/>
        <v>33666.692999999999</v>
      </c>
      <c r="E33" s="89">
        <f t="shared" si="11"/>
        <v>33666.692999999999</v>
      </c>
      <c r="F33" s="89">
        <f t="shared" si="11"/>
        <v>33666.692999999999</v>
      </c>
      <c r="G33" s="89">
        <f t="shared" si="11"/>
        <v>33666.692999999999</v>
      </c>
      <c r="H33" s="89">
        <f t="shared" si="11"/>
        <v>33666.692999999999</v>
      </c>
      <c r="I33" s="89">
        <f t="shared" si="11"/>
        <v>33666.692999999999</v>
      </c>
      <c r="J33" s="89">
        <f t="shared" si="11"/>
        <v>33666.692999999999</v>
      </c>
      <c r="K33" s="89">
        <f t="shared" si="11"/>
        <v>33666.692999999999</v>
      </c>
      <c r="L33" s="89">
        <f t="shared" si="11"/>
        <v>33666.692999999999</v>
      </c>
      <c r="M33" s="89">
        <f t="shared" si="11"/>
        <v>33666.692999999999</v>
      </c>
      <c r="N33" s="89">
        <f t="shared" si="9"/>
        <v>404000.31599999988</v>
      </c>
    </row>
    <row r="34" spans="1:14" x14ac:dyDescent="0.2">
      <c r="A34" s="58" t="s">
        <v>117</v>
      </c>
      <c r="B34" s="219">
        <f>$B$9</f>
        <v>17050.07</v>
      </c>
      <c r="C34" s="219">
        <f t="shared" ref="C34:M34" si="12">$B$9</f>
        <v>17050.07</v>
      </c>
      <c r="D34" s="219">
        <f t="shared" si="12"/>
        <v>17050.07</v>
      </c>
      <c r="E34" s="219">
        <f t="shared" si="12"/>
        <v>17050.07</v>
      </c>
      <c r="F34" s="219">
        <f t="shared" si="12"/>
        <v>17050.07</v>
      </c>
      <c r="G34" s="219">
        <f t="shared" si="12"/>
        <v>17050.07</v>
      </c>
      <c r="H34" s="219">
        <f t="shared" si="12"/>
        <v>17050.07</v>
      </c>
      <c r="I34" s="219">
        <f t="shared" si="12"/>
        <v>17050.07</v>
      </c>
      <c r="J34" s="219">
        <f t="shared" si="12"/>
        <v>17050.07</v>
      </c>
      <c r="K34" s="219">
        <f t="shared" si="12"/>
        <v>17050.07</v>
      </c>
      <c r="L34" s="219">
        <f t="shared" si="12"/>
        <v>17050.07</v>
      </c>
      <c r="M34" s="219">
        <f t="shared" si="12"/>
        <v>17050.07</v>
      </c>
      <c r="N34" s="70">
        <f t="shared" si="9"/>
        <v>204600.84000000005</v>
      </c>
    </row>
    <row r="35" spans="1:14" x14ac:dyDescent="0.2">
      <c r="A35" s="58" t="s">
        <v>118</v>
      </c>
      <c r="B35" s="219">
        <f>$B$10</f>
        <v>16616.623</v>
      </c>
      <c r="C35" s="219">
        <f t="shared" ref="C35:M35" si="13">$B$10</f>
        <v>16616.623</v>
      </c>
      <c r="D35" s="219">
        <f t="shared" si="13"/>
        <v>16616.623</v>
      </c>
      <c r="E35" s="219">
        <f t="shared" si="13"/>
        <v>16616.623</v>
      </c>
      <c r="F35" s="219">
        <f t="shared" si="13"/>
        <v>16616.623</v>
      </c>
      <c r="G35" s="219">
        <f t="shared" si="13"/>
        <v>16616.623</v>
      </c>
      <c r="H35" s="219">
        <f t="shared" si="13"/>
        <v>16616.623</v>
      </c>
      <c r="I35" s="219">
        <f t="shared" si="13"/>
        <v>16616.623</v>
      </c>
      <c r="J35" s="219">
        <f t="shared" si="13"/>
        <v>16616.623</v>
      </c>
      <c r="K35" s="219">
        <f t="shared" si="13"/>
        <v>16616.623</v>
      </c>
      <c r="L35" s="219">
        <f t="shared" si="13"/>
        <v>16616.623</v>
      </c>
      <c r="M35" s="219">
        <f t="shared" si="13"/>
        <v>16616.623</v>
      </c>
      <c r="N35" s="70">
        <f t="shared" si="9"/>
        <v>199399.47599999994</v>
      </c>
    </row>
    <row r="36" spans="1:14" x14ac:dyDescent="0.2">
      <c r="A36" s="90" t="s">
        <v>119</v>
      </c>
      <c r="B36" s="91">
        <f t="shared" ref="B36:M36" si="14">+B33+B29</f>
        <v>177864.81862273853</v>
      </c>
      <c r="C36" s="91">
        <f t="shared" si="14"/>
        <v>177864.81862273853</v>
      </c>
      <c r="D36" s="91">
        <f t="shared" si="14"/>
        <v>177864.81862273853</v>
      </c>
      <c r="E36" s="91">
        <f t="shared" si="14"/>
        <v>177864.81862273853</v>
      </c>
      <c r="F36" s="91">
        <f t="shared" si="14"/>
        <v>177864.81862273853</v>
      </c>
      <c r="G36" s="91">
        <f t="shared" si="14"/>
        <v>177864.81862273853</v>
      </c>
      <c r="H36" s="91">
        <f t="shared" si="14"/>
        <v>177864.81862273853</v>
      </c>
      <c r="I36" s="91">
        <f t="shared" si="14"/>
        <v>177864.81862273853</v>
      </c>
      <c r="J36" s="91">
        <f t="shared" si="14"/>
        <v>177864.81862273853</v>
      </c>
      <c r="K36" s="91">
        <f t="shared" si="14"/>
        <v>177864.81862273853</v>
      </c>
      <c r="L36" s="91">
        <f t="shared" si="14"/>
        <v>177864.81862273853</v>
      </c>
      <c r="M36" s="91">
        <f t="shared" si="14"/>
        <v>177864.81862273853</v>
      </c>
      <c r="N36" s="100">
        <f>+N33+N29</f>
        <v>2134377.8234728621</v>
      </c>
    </row>
    <row r="38" spans="1:14" ht="15.75" x14ac:dyDescent="0.25">
      <c r="B38" s="286">
        <f>B36/2990</f>
        <v>59.486561412287131</v>
      </c>
      <c r="C38" s="286">
        <f t="shared" ref="C38:M38" si="15">C36/2990</f>
        <v>59.486561412287131</v>
      </c>
      <c r="D38" s="286">
        <f t="shared" si="15"/>
        <v>59.486561412287131</v>
      </c>
      <c r="E38" s="286">
        <f t="shared" si="15"/>
        <v>59.486561412287131</v>
      </c>
      <c r="F38" s="286">
        <f t="shared" si="15"/>
        <v>59.486561412287131</v>
      </c>
      <c r="G38" s="286">
        <f t="shared" si="15"/>
        <v>59.486561412287131</v>
      </c>
      <c r="H38" s="286">
        <f t="shared" si="15"/>
        <v>59.486561412287131</v>
      </c>
      <c r="I38" s="286">
        <f t="shared" si="15"/>
        <v>59.486561412287131</v>
      </c>
      <c r="J38" s="286">
        <f t="shared" si="15"/>
        <v>59.486561412287131</v>
      </c>
      <c r="K38" s="286">
        <f>K36/2990</f>
        <v>59.486561412287131</v>
      </c>
      <c r="L38" s="286">
        <f t="shared" si="15"/>
        <v>59.486561412287131</v>
      </c>
      <c r="M38" s="286">
        <f t="shared" si="15"/>
        <v>59.486561412287131</v>
      </c>
    </row>
    <row r="39" spans="1:14" x14ac:dyDescent="0.2">
      <c r="B39" s="287"/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</row>
    <row r="40" spans="1:14" x14ac:dyDescent="0.2"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</row>
    <row r="41" spans="1:14" ht="15.75" x14ac:dyDescent="0.25">
      <c r="B41" s="287"/>
      <c r="C41" s="287"/>
      <c r="D41" s="287"/>
      <c r="E41" s="286">
        <f>AVERAGE(B38:M38)</f>
        <v>59.486561412287109</v>
      </c>
      <c r="F41" s="287"/>
      <c r="G41" s="287"/>
      <c r="H41" s="287"/>
      <c r="I41" s="287"/>
      <c r="J41" s="287"/>
      <c r="K41" s="287"/>
      <c r="L41" s="287"/>
      <c r="M41" s="287"/>
    </row>
    <row r="42" spans="1:14" ht="15.75" x14ac:dyDescent="0.25">
      <c r="B42" s="435" t="s">
        <v>132</v>
      </c>
      <c r="C42" s="435"/>
      <c r="D42" s="435"/>
      <c r="E42" s="435"/>
      <c r="F42" s="435"/>
      <c r="G42" s="435"/>
      <c r="H42" s="435"/>
      <c r="I42" s="435"/>
      <c r="J42" s="435"/>
      <c r="K42" s="435"/>
      <c r="L42" s="435"/>
      <c r="M42" s="435"/>
      <c r="N42" s="435"/>
    </row>
    <row r="43" spans="1:14" ht="15.75" x14ac:dyDescent="0.25">
      <c r="A43" s="85" t="s">
        <v>111</v>
      </c>
      <c r="B43" s="370">
        <v>1</v>
      </c>
      <c r="C43" s="370">
        <v>2</v>
      </c>
      <c r="D43" s="370">
        <v>3</v>
      </c>
      <c r="E43" s="370">
        <v>4</v>
      </c>
      <c r="F43" s="370">
        <v>5</v>
      </c>
      <c r="G43" s="370">
        <v>6</v>
      </c>
      <c r="H43" s="370">
        <v>7</v>
      </c>
      <c r="I43" s="370">
        <v>8</v>
      </c>
      <c r="J43" s="370">
        <v>9</v>
      </c>
      <c r="K43" s="370">
        <v>10</v>
      </c>
      <c r="L43" s="370">
        <v>11</v>
      </c>
      <c r="M43" s="370">
        <v>12</v>
      </c>
      <c r="N43" s="370" t="s">
        <v>28</v>
      </c>
    </row>
    <row r="44" spans="1:14" ht="15.75" x14ac:dyDescent="0.25">
      <c r="A44" s="86" t="s">
        <v>112</v>
      </c>
      <c r="B44" s="87">
        <f>SUM(B45:B47)</f>
        <v>145154.68833523852</v>
      </c>
      <c r="C44" s="87">
        <f>SUM(C45:C47)</f>
        <v>145154.68833523852</v>
      </c>
      <c r="D44" s="87">
        <f t="shared" ref="D44:J44" si="16">SUM(D45:D47)</f>
        <v>145154.68833523852</v>
      </c>
      <c r="E44" s="87">
        <f t="shared" si="16"/>
        <v>145154.68833523852</v>
      </c>
      <c r="F44" s="87">
        <f t="shared" si="16"/>
        <v>145154.68833523852</v>
      </c>
      <c r="G44" s="87">
        <f t="shared" si="16"/>
        <v>145154.68833523852</v>
      </c>
      <c r="H44" s="87">
        <f t="shared" si="16"/>
        <v>145154.68833523852</v>
      </c>
      <c r="I44" s="87">
        <f t="shared" si="16"/>
        <v>145154.68833523852</v>
      </c>
      <c r="J44" s="87">
        <f t="shared" si="16"/>
        <v>145154.68833523852</v>
      </c>
      <c r="K44" s="87">
        <f>SUM(K45:K47)</f>
        <v>145154.68833523852</v>
      </c>
      <c r="L44" s="87">
        <f t="shared" ref="L44:N44" si="17">SUM(L45:L47)</f>
        <v>145154.68833523852</v>
      </c>
      <c r="M44" s="87">
        <f t="shared" si="17"/>
        <v>145154.68833523852</v>
      </c>
      <c r="N44" s="87">
        <f t="shared" si="17"/>
        <v>1741856.2600228623</v>
      </c>
    </row>
    <row r="45" spans="1:14" x14ac:dyDescent="0.2">
      <c r="A45" s="23" t="s">
        <v>113</v>
      </c>
      <c r="B45" s="167">
        <f>$B$30*1.0075</f>
        <v>106025.4463125</v>
      </c>
      <c r="C45" s="167">
        <f t="shared" ref="C45:M45" si="18">$B$30*1.0075</f>
        <v>106025.4463125</v>
      </c>
      <c r="D45" s="167">
        <f t="shared" si="18"/>
        <v>106025.4463125</v>
      </c>
      <c r="E45" s="167">
        <f t="shared" si="18"/>
        <v>106025.4463125</v>
      </c>
      <c r="F45" s="167">
        <f t="shared" si="18"/>
        <v>106025.4463125</v>
      </c>
      <c r="G45" s="167">
        <f t="shared" si="18"/>
        <v>106025.4463125</v>
      </c>
      <c r="H45" s="167">
        <f t="shared" si="18"/>
        <v>106025.4463125</v>
      </c>
      <c r="I45" s="167">
        <f t="shared" si="18"/>
        <v>106025.4463125</v>
      </c>
      <c r="J45" s="167">
        <f t="shared" si="18"/>
        <v>106025.4463125</v>
      </c>
      <c r="K45" s="167">
        <f t="shared" si="18"/>
        <v>106025.4463125</v>
      </c>
      <c r="L45" s="167">
        <f t="shared" si="18"/>
        <v>106025.4463125</v>
      </c>
      <c r="M45" s="167">
        <f t="shared" si="18"/>
        <v>106025.4463125</v>
      </c>
      <c r="N45" s="98">
        <f t="shared" ref="N45:N50" si="19">SUM(B45:M45)</f>
        <v>1272305.3557500001</v>
      </c>
    </row>
    <row r="46" spans="1:14" x14ac:dyDescent="0.2">
      <c r="A46" s="23" t="s">
        <v>114</v>
      </c>
      <c r="B46" s="167">
        <f>$B$6*1.01</f>
        <v>16896.431400000001</v>
      </c>
      <c r="C46" s="167">
        <f t="shared" ref="C46:M46" si="20">$B$6*1.01</f>
        <v>16896.431400000001</v>
      </c>
      <c r="D46" s="167">
        <f t="shared" si="20"/>
        <v>16896.431400000001</v>
      </c>
      <c r="E46" s="167">
        <f t="shared" si="20"/>
        <v>16896.431400000001</v>
      </c>
      <c r="F46" s="167">
        <f t="shared" si="20"/>
        <v>16896.431400000001</v>
      </c>
      <c r="G46" s="167">
        <f t="shared" si="20"/>
        <v>16896.431400000001</v>
      </c>
      <c r="H46" s="167">
        <f t="shared" si="20"/>
        <v>16896.431400000001</v>
      </c>
      <c r="I46" s="167">
        <f t="shared" si="20"/>
        <v>16896.431400000001</v>
      </c>
      <c r="J46" s="167">
        <f t="shared" si="20"/>
        <v>16896.431400000001</v>
      </c>
      <c r="K46" s="167">
        <f t="shared" si="20"/>
        <v>16896.431400000001</v>
      </c>
      <c r="L46" s="167">
        <f t="shared" si="20"/>
        <v>16896.431400000001</v>
      </c>
      <c r="M46" s="167">
        <f t="shared" si="20"/>
        <v>16896.431400000001</v>
      </c>
      <c r="N46" s="98">
        <f t="shared" si="19"/>
        <v>202757.17680000002</v>
      </c>
    </row>
    <row r="47" spans="1:14" x14ac:dyDescent="0.2">
      <c r="A47" s="88" t="s">
        <v>115</v>
      </c>
      <c r="B47" s="221">
        <f>'M. DE CALCULO DE COSTOS VARIABL'!$F$42</f>
        <v>22232.810622738518</v>
      </c>
      <c r="C47" s="221">
        <f>'M. DE CALCULO DE COSTOS VARIABL'!$F$42</f>
        <v>22232.810622738518</v>
      </c>
      <c r="D47" s="221">
        <f>'M. DE CALCULO DE COSTOS VARIABL'!$F$42</f>
        <v>22232.810622738518</v>
      </c>
      <c r="E47" s="221">
        <f>'M. DE CALCULO DE COSTOS VARIABL'!$F$42</f>
        <v>22232.810622738518</v>
      </c>
      <c r="F47" s="221">
        <f>'M. DE CALCULO DE COSTOS VARIABL'!$F$42</f>
        <v>22232.810622738518</v>
      </c>
      <c r="G47" s="221">
        <f>'M. DE CALCULO DE COSTOS VARIABL'!$F$42</f>
        <v>22232.810622738518</v>
      </c>
      <c r="H47" s="221">
        <f>'M. DE CALCULO DE COSTOS VARIABL'!$F$42</f>
        <v>22232.810622738518</v>
      </c>
      <c r="I47" s="221">
        <f>'M. DE CALCULO DE COSTOS VARIABL'!$F$42</f>
        <v>22232.810622738518</v>
      </c>
      <c r="J47" s="221">
        <f>'M. DE CALCULO DE COSTOS VARIABL'!$F$42</f>
        <v>22232.810622738518</v>
      </c>
      <c r="K47" s="221">
        <f>'M. DE CALCULO DE COSTOS VARIABL'!$F$42</f>
        <v>22232.810622738518</v>
      </c>
      <c r="L47" s="221">
        <f>'M. DE CALCULO DE COSTOS VARIABL'!$F$42</f>
        <v>22232.810622738518</v>
      </c>
      <c r="M47" s="221">
        <f>'M. DE CALCULO DE COSTOS VARIABL'!$F$42</f>
        <v>22232.810622738518</v>
      </c>
      <c r="N47" s="98">
        <f t="shared" si="19"/>
        <v>266793.72747286229</v>
      </c>
    </row>
    <row r="48" spans="1:14" ht="15.75" x14ac:dyDescent="0.25">
      <c r="A48" s="86" t="s">
        <v>116</v>
      </c>
      <c r="B48" s="89">
        <f>B49+B50</f>
        <v>33837.193700000003</v>
      </c>
      <c r="C48" s="89">
        <f t="shared" ref="C48:M48" si="21">SUM(C49:C50)</f>
        <v>33837.193700000003</v>
      </c>
      <c r="D48" s="89">
        <f t="shared" si="21"/>
        <v>33837.193700000003</v>
      </c>
      <c r="E48" s="89">
        <f t="shared" si="21"/>
        <v>33837.193700000003</v>
      </c>
      <c r="F48" s="89">
        <f t="shared" si="21"/>
        <v>33837.193700000003</v>
      </c>
      <c r="G48" s="89">
        <f t="shared" si="21"/>
        <v>33837.193700000003</v>
      </c>
      <c r="H48" s="89">
        <f t="shared" si="21"/>
        <v>33837.193700000003</v>
      </c>
      <c r="I48" s="89">
        <f t="shared" si="21"/>
        <v>33837.193700000003</v>
      </c>
      <c r="J48" s="89">
        <f t="shared" si="21"/>
        <v>33837.193700000003</v>
      </c>
      <c r="K48" s="89">
        <f t="shared" si="21"/>
        <v>33837.193700000003</v>
      </c>
      <c r="L48" s="89">
        <f t="shared" si="21"/>
        <v>33837.193700000003</v>
      </c>
      <c r="M48" s="89">
        <f t="shared" si="21"/>
        <v>33837.193700000003</v>
      </c>
      <c r="N48" s="89">
        <f t="shared" si="19"/>
        <v>406046.32440000004</v>
      </c>
    </row>
    <row r="49" spans="1:14" x14ac:dyDescent="0.2">
      <c r="A49" s="58" t="s">
        <v>117</v>
      </c>
      <c r="B49" s="219">
        <f>$B$9*1.01</f>
        <v>17220.5707</v>
      </c>
      <c r="C49" s="219">
        <f t="shared" ref="C49:M49" si="22">$B$9*1.01</f>
        <v>17220.5707</v>
      </c>
      <c r="D49" s="219">
        <f t="shared" si="22"/>
        <v>17220.5707</v>
      </c>
      <c r="E49" s="219">
        <f t="shared" si="22"/>
        <v>17220.5707</v>
      </c>
      <c r="F49" s="219">
        <f t="shared" si="22"/>
        <v>17220.5707</v>
      </c>
      <c r="G49" s="219">
        <f t="shared" si="22"/>
        <v>17220.5707</v>
      </c>
      <c r="H49" s="219">
        <f t="shared" si="22"/>
        <v>17220.5707</v>
      </c>
      <c r="I49" s="219">
        <f t="shared" si="22"/>
        <v>17220.5707</v>
      </c>
      <c r="J49" s="219">
        <f t="shared" si="22"/>
        <v>17220.5707</v>
      </c>
      <c r="K49" s="219">
        <f t="shared" si="22"/>
        <v>17220.5707</v>
      </c>
      <c r="L49" s="219">
        <f t="shared" si="22"/>
        <v>17220.5707</v>
      </c>
      <c r="M49" s="219">
        <f t="shared" si="22"/>
        <v>17220.5707</v>
      </c>
      <c r="N49" s="70">
        <f t="shared" si="19"/>
        <v>206646.84840000005</v>
      </c>
    </row>
    <row r="50" spans="1:14" x14ac:dyDescent="0.2">
      <c r="A50" s="58" t="s">
        <v>118</v>
      </c>
      <c r="B50" s="219">
        <f>$B$10</f>
        <v>16616.623</v>
      </c>
      <c r="C50" s="219">
        <f t="shared" ref="C50:M50" si="23">$B$10</f>
        <v>16616.623</v>
      </c>
      <c r="D50" s="219">
        <f t="shared" si="23"/>
        <v>16616.623</v>
      </c>
      <c r="E50" s="219">
        <f t="shared" si="23"/>
        <v>16616.623</v>
      </c>
      <c r="F50" s="219">
        <f t="shared" si="23"/>
        <v>16616.623</v>
      </c>
      <c r="G50" s="219">
        <f t="shared" si="23"/>
        <v>16616.623</v>
      </c>
      <c r="H50" s="219">
        <f t="shared" si="23"/>
        <v>16616.623</v>
      </c>
      <c r="I50" s="219">
        <f t="shared" si="23"/>
        <v>16616.623</v>
      </c>
      <c r="J50" s="219">
        <f t="shared" si="23"/>
        <v>16616.623</v>
      </c>
      <c r="K50" s="219">
        <f t="shared" si="23"/>
        <v>16616.623</v>
      </c>
      <c r="L50" s="219">
        <f t="shared" si="23"/>
        <v>16616.623</v>
      </c>
      <c r="M50" s="219">
        <f t="shared" si="23"/>
        <v>16616.623</v>
      </c>
      <c r="N50" s="70">
        <f t="shared" si="19"/>
        <v>199399.47599999994</v>
      </c>
    </row>
    <row r="51" spans="1:14" x14ac:dyDescent="0.2">
      <c r="A51" s="90" t="s">
        <v>119</v>
      </c>
      <c r="B51" s="91">
        <f t="shared" ref="B51:M51" si="24">+B48+B44</f>
        <v>178991.88203523852</v>
      </c>
      <c r="C51" s="91">
        <f t="shared" si="24"/>
        <v>178991.88203523852</v>
      </c>
      <c r="D51" s="91">
        <f t="shared" si="24"/>
        <v>178991.88203523852</v>
      </c>
      <c r="E51" s="91">
        <f t="shared" si="24"/>
        <v>178991.88203523852</v>
      </c>
      <c r="F51" s="91">
        <f t="shared" si="24"/>
        <v>178991.88203523852</v>
      </c>
      <c r="G51" s="91">
        <f t="shared" si="24"/>
        <v>178991.88203523852</v>
      </c>
      <c r="H51" s="91">
        <f t="shared" si="24"/>
        <v>178991.88203523852</v>
      </c>
      <c r="I51" s="91">
        <f t="shared" si="24"/>
        <v>178991.88203523852</v>
      </c>
      <c r="J51" s="91">
        <f t="shared" si="24"/>
        <v>178991.88203523852</v>
      </c>
      <c r="K51" s="91">
        <f t="shared" si="24"/>
        <v>178991.88203523852</v>
      </c>
      <c r="L51" s="91">
        <f t="shared" si="24"/>
        <v>178991.88203523852</v>
      </c>
      <c r="M51" s="91">
        <f t="shared" si="24"/>
        <v>178991.88203523852</v>
      </c>
      <c r="N51" s="100">
        <f>+N48+N44</f>
        <v>2147902.5844228622</v>
      </c>
    </row>
    <row r="55" spans="1:14" ht="15.75" x14ac:dyDescent="0.25">
      <c r="B55" s="435" t="s">
        <v>133</v>
      </c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435"/>
      <c r="N55" s="435"/>
    </row>
    <row r="56" spans="1:14" ht="15.75" x14ac:dyDescent="0.25">
      <c r="A56" s="85" t="s">
        <v>111</v>
      </c>
      <c r="B56" s="370">
        <v>1</v>
      </c>
      <c r="C56" s="370">
        <v>2</v>
      </c>
      <c r="D56" s="370">
        <v>3</v>
      </c>
      <c r="E56" s="370">
        <v>4</v>
      </c>
      <c r="F56" s="370">
        <v>5</v>
      </c>
      <c r="G56" s="370">
        <v>6</v>
      </c>
      <c r="H56" s="370">
        <v>7</v>
      </c>
      <c r="I56" s="370">
        <v>8</v>
      </c>
      <c r="J56" s="370">
        <v>9</v>
      </c>
      <c r="K56" s="370">
        <v>10</v>
      </c>
      <c r="L56" s="370">
        <v>11</v>
      </c>
      <c r="M56" s="370">
        <v>12</v>
      </c>
      <c r="N56" s="370" t="s">
        <v>28</v>
      </c>
    </row>
    <row r="57" spans="1:14" ht="15.75" x14ac:dyDescent="0.25">
      <c r="A57" s="86" t="s">
        <v>112</v>
      </c>
      <c r="B57" s="87">
        <f>SUM(B58:B60)</f>
        <v>146118.84349658227</v>
      </c>
      <c r="C57" s="87">
        <f>SUM(C58:C60)</f>
        <v>146118.84349658227</v>
      </c>
      <c r="D57" s="87">
        <f t="shared" ref="D57:J57" si="25">SUM(D58:D60)</f>
        <v>146118.84349658227</v>
      </c>
      <c r="E57" s="87">
        <f t="shared" si="25"/>
        <v>146118.84349658227</v>
      </c>
      <c r="F57" s="87">
        <f t="shared" si="25"/>
        <v>146118.84349658227</v>
      </c>
      <c r="G57" s="87">
        <f t="shared" si="25"/>
        <v>146118.84349658227</v>
      </c>
      <c r="H57" s="87">
        <f t="shared" si="25"/>
        <v>146118.84349658227</v>
      </c>
      <c r="I57" s="87">
        <f t="shared" si="25"/>
        <v>146118.84349658227</v>
      </c>
      <c r="J57" s="87">
        <f t="shared" si="25"/>
        <v>146118.84349658227</v>
      </c>
      <c r="K57" s="87">
        <f>SUM(K58:K60)</f>
        <v>146118.84349658227</v>
      </c>
      <c r="L57" s="87">
        <f t="shared" ref="L57:N57" si="26">SUM(L58:L60)</f>
        <v>146118.84349658227</v>
      </c>
      <c r="M57" s="87">
        <f t="shared" si="26"/>
        <v>146118.84349658227</v>
      </c>
      <c r="N57" s="87">
        <f t="shared" si="26"/>
        <v>1753426.1219589869</v>
      </c>
    </row>
    <row r="58" spans="1:14" x14ac:dyDescent="0.2">
      <c r="A58" s="23" t="s">
        <v>113</v>
      </c>
      <c r="B58" s="167">
        <f>$B$45*1.0075</f>
        <v>106820.63715984375</v>
      </c>
      <c r="C58" s="167">
        <f t="shared" ref="C58:M58" si="27">$B$45*1.0075</f>
        <v>106820.63715984375</v>
      </c>
      <c r="D58" s="167">
        <f t="shared" si="27"/>
        <v>106820.63715984375</v>
      </c>
      <c r="E58" s="167">
        <f t="shared" si="27"/>
        <v>106820.63715984375</v>
      </c>
      <c r="F58" s="167">
        <f t="shared" si="27"/>
        <v>106820.63715984375</v>
      </c>
      <c r="G58" s="167">
        <f t="shared" si="27"/>
        <v>106820.63715984375</v>
      </c>
      <c r="H58" s="167">
        <f t="shared" si="27"/>
        <v>106820.63715984375</v>
      </c>
      <c r="I58" s="167">
        <f t="shared" si="27"/>
        <v>106820.63715984375</v>
      </c>
      <c r="J58" s="167">
        <f t="shared" si="27"/>
        <v>106820.63715984375</v>
      </c>
      <c r="K58" s="167">
        <f t="shared" si="27"/>
        <v>106820.63715984375</v>
      </c>
      <c r="L58" s="167">
        <f t="shared" si="27"/>
        <v>106820.63715984375</v>
      </c>
      <c r="M58" s="167">
        <f t="shared" si="27"/>
        <v>106820.63715984375</v>
      </c>
      <c r="N58" s="98">
        <f t="shared" ref="N58:N63" si="28">SUM(B58:M58)</f>
        <v>1281847.6459181246</v>
      </c>
    </row>
    <row r="59" spans="1:14" x14ac:dyDescent="0.2">
      <c r="A59" s="23" t="s">
        <v>114</v>
      </c>
      <c r="B59" s="167">
        <f>$B$46*1.01</f>
        <v>17065.395714000002</v>
      </c>
      <c r="C59" s="167">
        <f t="shared" ref="C59:M59" si="29">$B$46*1.01</f>
        <v>17065.395714000002</v>
      </c>
      <c r="D59" s="167">
        <f t="shared" si="29"/>
        <v>17065.395714000002</v>
      </c>
      <c r="E59" s="167">
        <f t="shared" si="29"/>
        <v>17065.395714000002</v>
      </c>
      <c r="F59" s="167">
        <f t="shared" si="29"/>
        <v>17065.395714000002</v>
      </c>
      <c r="G59" s="167">
        <f t="shared" si="29"/>
        <v>17065.395714000002</v>
      </c>
      <c r="H59" s="167">
        <f t="shared" si="29"/>
        <v>17065.395714000002</v>
      </c>
      <c r="I59" s="167">
        <f t="shared" si="29"/>
        <v>17065.395714000002</v>
      </c>
      <c r="J59" s="167">
        <f t="shared" si="29"/>
        <v>17065.395714000002</v>
      </c>
      <c r="K59" s="167">
        <f t="shared" si="29"/>
        <v>17065.395714000002</v>
      </c>
      <c r="L59" s="167">
        <f t="shared" si="29"/>
        <v>17065.395714000002</v>
      </c>
      <c r="M59" s="167">
        <f t="shared" si="29"/>
        <v>17065.395714000002</v>
      </c>
      <c r="N59" s="98">
        <f t="shared" si="28"/>
        <v>204784.74856800007</v>
      </c>
    </row>
    <row r="60" spans="1:14" x14ac:dyDescent="0.2">
      <c r="A60" s="88" t="s">
        <v>115</v>
      </c>
      <c r="B60" s="221">
        <f>'M. DE CALCULO DE COSTOS VARIABL'!$F$42</f>
        <v>22232.810622738518</v>
      </c>
      <c r="C60" s="221">
        <f>'M. DE CALCULO DE COSTOS VARIABL'!$F$42</f>
        <v>22232.810622738518</v>
      </c>
      <c r="D60" s="221">
        <f>'M. DE CALCULO DE COSTOS VARIABL'!$F$42</f>
        <v>22232.810622738518</v>
      </c>
      <c r="E60" s="221">
        <f>'M. DE CALCULO DE COSTOS VARIABL'!$F$42</f>
        <v>22232.810622738518</v>
      </c>
      <c r="F60" s="221">
        <f>'M. DE CALCULO DE COSTOS VARIABL'!$F$42</f>
        <v>22232.810622738518</v>
      </c>
      <c r="G60" s="221">
        <f>'M. DE CALCULO DE COSTOS VARIABL'!$F$42</f>
        <v>22232.810622738518</v>
      </c>
      <c r="H60" s="221">
        <f>'M. DE CALCULO DE COSTOS VARIABL'!$F$42</f>
        <v>22232.810622738518</v>
      </c>
      <c r="I60" s="221">
        <f>'M. DE CALCULO DE COSTOS VARIABL'!$F$42</f>
        <v>22232.810622738518</v>
      </c>
      <c r="J60" s="221">
        <f>'M. DE CALCULO DE COSTOS VARIABL'!$F$42</f>
        <v>22232.810622738518</v>
      </c>
      <c r="K60" s="221">
        <f>'M. DE CALCULO DE COSTOS VARIABL'!$F$42</f>
        <v>22232.810622738518</v>
      </c>
      <c r="L60" s="221">
        <f>'M. DE CALCULO DE COSTOS VARIABL'!$F$42</f>
        <v>22232.810622738518</v>
      </c>
      <c r="M60" s="221">
        <f>'M. DE CALCULO DE COSTOS VARIABL'!$F$42</f>
        <v>22232.810622738518</v>
      </c>
      <c r="N60" s="98">
        <f t="shared" si="28"/>
        <v>266793.72747286229</v>
      </c>
    </row>
    <row r="61" spans="1:14" ht="15.75" x14ac:dyDescent="0.25">
      <c r="A61" s="86" t="s">
        <v>116</v>
      </c>
      <c r="B61" s="89">
        <f>B62+B63</f>
        <v>34009.399407000004</v>
      </c>
      <c r="C61" s="89">
        <f t="shared" ref="C61:M61" si="30">SUM(C62:C63)</f>
        <v>34009.399407000004</v>
      </c>
      <c r="D61" s="89">
        <f t="shared" si="30"/>
        <v>34009.399407000004</v>
      </c>
      <c r="E61" s="89">
        <f t="shared" si="30"/>
        <v>34009.399407000004</v>
      </c>
      <c r="F61" s="89">
        <f t="shared" si="30"/>
        <v>34009.399407000004</v>
      </c>
      <c r="G61" s="89">
        <f t="shared" si="30"/>
        <v>34009.399407000004</v>
      </c>
      <c r="H61" s="89">
        <f t="shared" si="30"/>
        <v>34009.399407000004</v>
      </c>
      <c r="I61" s="89">
        <f t="shared" si="30"/>
        <v>34009.399407000004</v>
      </c>
      <c r="J61" s="89">
        <f t="shared" si="30"/>
        <v>34009.399407000004</v>
      </c>
      <c r="K61" s="89">
        <f t="shared" si="30"/>
        <v>34009.399407000004</v>
      </c>
      <c r="L61" s="89">
        <f t="shared" si="30"/>
        <v>34009.399407000004</v>
      </c>
      <c r="M61" s="89">
        <f t="shared" si="30"/>
        <v>34009.399407000004</v>
      </c>
      <c r="N61" s="89">
        <f t="shared" si="28"/>
        <v>408112.79288399994</v>
      </c>
    </row>
    <row r="62" spans="1:14" x14ac:dyDescent="0.2">
      <c r="A62" s="58" t="s">
        <v>117</v>
      </c>
      <c r="B62" s="219">
        <f>$B$49*1.01</f>
        <v>17392.776407000001</v>
      </c>
      <c r="C62" s="219">
        <f t="shared" ref="C62:M62" si="31">$B$49*1.01</f>
        <v>17392.776407000001</v>
      </c>
      <c r="D62" s="219">
        <f t="shared" si="31"/>
        <v>17392.776407000001</v>
      </c>
      <c r="E62" s="219">
        <f t="shared" si="31"/>
        <v>17392.776407000001</v>
      </c>
      <c r="F62" s="219">
        <f t="shared" si="31"/>
        <v>17392.776407000001</v>
      </c>
      <c r="G62" s="219">
        <f t="shared" si="31"/>
        <v>17392.776407000001</v>
      </c>
      <c r="H62" s="219">
        <f t="shared" si="31"/>
        <v>17392.776407000001</v>
      </c>
      <c r="I62" s="219">
        <f t="shared" si="31"/>
        <v>17392.776407000001</v>
      </c>
      <c r="J62" s="219">
        <f t="shared" si="31"/>
        <v>17392.776407000001</v>
      </c>
      <c r="K62" s="219">
        <f t="shared" si="31"/>
        <v>17392.776407000001</v>
      </c>
      <c r="L62" s="219">
        <f t="shared" si="31"/>
        <v>17392.776407000001</v>
      </c>
      <c r="M62" s="219">
        <f t="shared" si="31"/>
        <v>17392.776407000001</v>
      </c>
      <c r="N62" s="70">
        <f t="shared" si="28"/>
        <v>208713.316884</v>
      </c>
    </row>
    <row r="63" spans="1:14" x14ac:dyDescent="0.2">
      <c r="A63" s="58" t="s">
        <v>118</v>
      </c>
      <c r="B63" s="219">
        <f>$B$10</f>
        <v>16616.623</v>
      </c>
      <c r="C63" s="219">
        <f t="shared" ref="C63:M63" si="32">$B$10</f>
        <v>16616.623</v>
      </c>
      <c r="D63" s="219">
        <f t="shared" si="32"/>
        <v>16616.623</v>
      </c>
      <c r="E63" s="219">
        <f t="shared" si="32"/>
        <v>16616.623</v>
      </c>
      <c r="F63" s="219">
        <f t="shared" si="32"/>
        <v>16616.623</v>
      </c>
      <c r="G63" s="219">
        <f t="shared" si="32"/>
        <v>16616.623</v>
      </c>
      <c r="H63" s="219">
        <f t="shared" si="32"/>
        <v>16616.623</v>
      </c>
      <c r="I63" s="219">
        <f t="shared" si="32"/>
        <v>16616.623</v>
      </c>
      <c r="J63" s="219">
        <f t="shared" si="32"/>
        <v>16616.623</v>
      </c>
      <c r="K63" s="219">
        <f t="shared" si="32"/>
        <v>16616.623</v>
      </c>
      <c r="L63" s="219">
        <f t="shared" si="32"/>
        <v>16616.623</v>
      </c>
      <c r="M63" s="219">
        <f t="shared" si="32"/>
        <v>16616.623</v>
      </c>
      <c r="N63" s="70">
        <f t="shared" si="28"/>
        <v>199399.47599999994</v>
      </c>
    </row>
    <row r="64" spans="1:14" x14ac:dyDescent="0.2">
      <c r="A64" s="90" t="s">
        <v>119</v>
      </c>
      <c r="B64" s="91">
        <f t="shared" ref="B64:M64" si="33">+B61+B57</f>
        <v>180128.24290358229</v>
      </c>
      <c r="C64" s="91">
        <f t="shared" si="33"/>
        <v>180128.24290358229</v>
      </c>
      <c r="D64" s="91">
        <f t="shared" si="33"/>
        <v>180128.24290358229</v>
      </c>
      <c r="E64" s="91">
        <f t="shared" si="33"/>
        <v>180128.24290358229</v>
      </c>
      <c r="F64" s="91">
        <f t="shared" si="33"/>
        <v>180128.24290358229</v>
      </c>
      <c r="G64" s="91">
        <f t="shared" si="33"/>
        <v>180128.24290358229</v>
      </c>
      <c r="H64" s="91">
        <f t="shared" si="33"/>
        <v>180128.24290358229</v>
      </c>
      <c r="I64" s="91">
        <f t="shared" si="33"/>
        <v>180128.24290358229</v>
      </c>
      <c r="J64" s="91">
        <f t="shared" si="33"/>
        <v>180128.24290358229</v>
      </c>
      <c r="K64" s="91">
        <f t="shared" si="33"/>
        <v>180128.24290358229</v>
      </c>
      <c r="L64" s="91">
        <f t="shared" si="33"/>
        <v>180128.24290358229</v>
      </c>
      <c r="M64" s="91">
        <f t="shared" si="33"/>
        <v>180128.24290358229</v>
      </c>
      <c r="N64" s="100">
        <f>+N61+N57</f>
        <v>2161538.914842987</v>
      </c>
    </row>
    <row r="68" spans="1:14" ht="15.75" x14ac:dyDescent="0.25">
      <c r="B68" s="435" t="s">
        <v>134</v>
      </c>
      <c r="C68" s="435"/>
      <c r="D68" s="435"/>
      <c r="E68" s="435"/>
      <c r="F68" s="435"/>
      <c r="G68" s="435"/>
      <c r="H68" s="435"/>
      <c r="I68" s="435"/>
      <c r="J68" s="435"/>
      <c r="K68" s="435"/>
      <c r="L68" s="435"/>
      <c r="M68" s="435"/>
      <c r="N68" s="435"/>
    </row>
    <row r="69" spans="1:14" ht="15.75" x14ac:dyDescent="0.25">
      <c r="A69" s="85" t="s">
        <v>111</v>
      </c>
      <c r="B69" s="370">
        <v>1</v>
      </c>
      <c r="C69" s="370">
        <v>2</v>
      </c>
      <c r="D69" s="370">
        <v>3</v>
      </c>
      <c r="E69" s="370">
        <v>4</v>
      </c>
      <c r="F69" s="370">
        <v>5</v>
      </c>
      <c r="G69" s="370">
        <v>6</v>
      </c>
      <c r="H69" s="370">
        <v>7</v>
      </c>
      <c r="I69" s="370">
        <v>8</v>
      </c>
      <c r="J69" s="370">
        <v>9</v>
      </c>
      <c r="K69" s="370">
        <v>10</v>
      </c>
      <c r="L69" s="370">
        <v>11</v>
      </c>
      <c r="M69" s="370">
        <v>12</v>
      </c>
      <c r="N69" s="370" t="s">
        <v>28</v>
      </c>
    </row>
    <row r="70" spans="1:14" ht="15.75" x14ac:dyDescent="0.25">
      <c r="A70" s="86" t="s">
        <v>112</v>
      </c>
      <c r="B70" s="87">
        <f>SUM(B71:B73)</f>
        <v>147090.65223242113</v>
      </c>
      <c r="C70" s="87">
        <f>SUM(C71:C73)</f>
        <v>147090.65223242113</v>
      </c>
      <c r="D70" s="87">
        <f t="shared" ref="D70:J70" si="34">SUM(D71:D73)</f>
        <v>147090.65223242113</v>
      </c>
      <c r="E70" s="87">
        <f t="shared" si="34"/>
        <v>147090.65223242113</v>
      </c>
      <c r="F70" s="87">
        <f t="shared" si="34"/>
        <v>147090.65223242113</v>
      </c>
      <c r="G70" s="87">
        <f t="shared" si="34"/>
        <v>147090.65223242113</v>
      </c>
      <c r="H70" s="87">
        <f t="shared" si="34"/>
        <v>147090.65223242113</v>
      </c>
      <c r="I70" s="87">
        <f t="shared" si="34"/>
        <v>147090.65223242113</v>
      </c>
      <c r="J70" s="87">
        <f t="shared" si="34"/>
        <v>147090.65223242113</v>
      </c>
      <c r="K70" s="87">
        <f>SUM(K71:K73)</f>
        <v>147090.65223242113</v>
      </c>
      <c r="L70" s="87">
        <f t="shared" ref="L70:N70" si="35">SUM(L71:L73)</f>
        <v>147090.65223242113</v>
      </c>
      <c r="M70" s="87">
        <f t="shared" si="35"/>
        <v>147090.65223242113</v>
      </c>
      <c r="N70" s="87">
        <f t="shared" si="35"/>
        <v>1765087.8267890534</v>
      </c>
    </row>
    <row r="71" spans="1:14" x14ac:dyDescent="0.2">
      <c r="A71" s="23" t="s">
        <v>113</v>
      </c>
      <c r="B71" s="167">
        <f>$B$58*1.0075</f>
        <v>107621.79193854259</v>
      </c>
      <c r="C71" s="167">
        <f t="shared" ref="C71:M71" si="36">$B$58*1.0075</f>
        <v>107621.79193854259</v>
      </c>
      <c r="D71" s="167">
        <f t="shared" si="36"/>
        <v>107621.79193854259</v>
      </c>
      <c r="E71" s="167">
        <f t="shared" si="36"/>
        <v>107621.79193854259</v>
      </c>
      <c r="F71" s="167">
        <f t="shared" si="36"/>
        <v>107621.79193854259</v>
      </c>
      <c r="G71" s="167">
        <f t="shared" si="36"/>
        <v>107621.79193854259</v>
      </c>
      <c r="H71" s="167">
        <f t="shared" si="36"/>
        <v>107621.79193854259</v>
      </c>
      <c r="I71" s="167">
        <f t="shared" si="36"/>
        <v>107621.79193854259</v>
      </c>
      <c r="J71" s="167">
        <f t="shared" si="36"/>
        <v>107621.79193854259</v>
      </c>
      <c r="K71" s="167">
        <f t="shared" si="36"/>
        <v>107621.79193854259</v>
      </c>
      <c r="L71" s="167">
        <f t="shared" si="36"/>
        <v>107621.79193854259</v>
      </c>
      <c r="M71" s="167">
        <f t="shared" si="36"/>
        <v>107621.79193854259</v>
      </c>
      <c r="N71" s="98">
        <f t="shared" ref="N71:N76" si="37">SUM(B71:M71)</f>
        <v>1291461.5032625112</v>
      </c>
    </row>
    <row r="72" spans="1:14" x14ac:dyDescent="0.2">
      <c r="A72" s="23" t="s">
        <v>114</v>
      </c>
      <c r="B72" s="167">
        <f>$B$59*1.01</f>
        <v>17236.049671140001</v>
      </c>
      <c r="C72" s="167">
        <f t="shared" ref="C72:M72" si="38">$B$59*1.01</f>
        <v>17236.049671140001</v>
      </c>
      <c r="D72" s="167">
        <f t="shared" si="38"/>
        <v>17236.049671140001</v>
      </c>
      <c r="E72" s="167">
        <f t="shared" si="38"/>
        <v>17236.049671140001</v>
      </c>
      <c r="F72" s="167">
        <f t="shared" si="38"/>
        <v>17236.049671140001</v>
      </c>
      <c r="G72" s="167">
        <f t="shared" si="38"/>
        <v>17236.049671140001</v>
      </c>
      <c r="H72" s="167">
        <f t="shared" si="38"/>
        <v>17236.049671140001</v>
      </c>
      <c r="I72" s="167">
        <f t="shared" si="38"/>
        <v>17236.049671140001</v>
      </c>
      <c r="J72" s="167">
        <f t="shared" si="38"/>
        <v>17236.049671140001</v>
      </c>
      <c r="K72" s="167">
        <f t="shared" si="38"/>
        <v>17236.049671140001</v>
      </c>
      <c r="L72" s="167">
        <f t="shared" si="38"/>
        <v>17236.049671140001</v>
      </c>
      <c r="M72" s="167">
        <f t="shared" si="38"/>
        <v>17236.049671140001</v>
      </c>
      <c r="N72" s="98">
        <f t="shared" si="37"/>
        <v>206832.59605368003</v>
      </c>
    </row>
    <row r="73" spans="1:14" x14ac:dyDescent="0.2">
      <c r="A73" s="88" t="s">
        <v>115</v>
      </c>
      <c r="B73" s="221">
        <f>'M. DE CALCULO DE COSTOS VARIABL'!$F$42</f>
        <v>22232.810622738518</v>
      </c>
      <c r="C73" s="221">
        <f>'M. DE CALCULO DE COSTOS VARIABL'!$F$42</f>
        <v>22232.810622738518</v>
      </c>
      <c r="D73" s="221">
        <f>'M. DE CALCULO DE COSTOS VARIABL'!$F$42</f>
        <v>22232.810622738518</v>
      </c>
      <c r="E73" s="221">
        <f>'M. DE CALCULO DE COSTOS VARIABL'!$F$42</f>
        <v>22232.810622738518</v>
      </c>
      <c r="F73" s="221">
        <f>'M. DE CALCULO DE COSTOS VARIABL'!$F$42</f>
        <v>22232.810622738518</v>
      </c>
      <c r="G73" s="221">
        <f>'M. DE CALCULO DE COSTOS VARIABL'!$F$42</f>
        <v>22232.810622738518</v>
      </c>
      <c r="H73" s="221">
        <f>'M. DE CALCULO DE COSTOS VARIABL'!$F$42</f>
        <v>22232.810622738518</v>
      </c>
      <c r="I73" s="221">
        <f>'M. DE CALCULO DE COSTOS VARIABL'!$F$42</f>
        <v>22232.810622738518</v>
      </c>
      <c r="J73" s="221">
        <f>'M. DE CALCULO DE COSTOS VARIABL'!$F$42</f>
        <v>22232.810622738518</v>
      </c>
      <c r="K73" s="221">
        <f>'M. DE CALCULO DE COSTOS VARIABL'!$F$42</f>
        <v>22232.810622738518</v>
      </c>
      <c r="L73" s="221">
        <f>'M. DE CALCULO DE COSTOS VARIABL'!$F$42</f>
        <v>22232.810622738518</v>
      </c>
      <c r="M73" s="221">
        <f>'M. DE CALCULO DE COSTOS VARIABL'!$F$42</f>
        <v>22232.810622738518</v>
      </c>
      <c r="N73" s="98">
        <f t="shared" si="37"/>
        <v>266793.72747286229</v>
      </c>
    </row>
    <row r="74" spans="1:14" ht="15.75" x14ac:dyDescent="0.25">
      <c r="A74" s="86" t="s">
        <v>116</v>
      </c>
      <c r="B74" s="89">
        <f>B75+B76</f>
        <v>34183.327171069999</v>
      </c>
      <c r="C74" s="89">
        <f t="shared" ref="C74:M74" si="39">SUM(C75:C76)</f>
        <v>34183.327171069999</v>
      </c>
      <c r="D74" s="89">
        <f t="shared" si="39"/>
        <v>34183.327171069999</v>
      </c>
      <c r="E74" s="89">
        <f t="shared" si="39"/>
        <v>34183.327171069999</v>
      </c>
      <c r="F74" s="89">
        <f t="shared" si="39"/>
        <v>34183.327171069999</v>
      </c>
      <c r="G74" s="89">
        <f t="shared" si="39"/>
        <v>34183.327171069999</v>
      </c>
      <c r="H74" s="89">
        <f t="shared" si="39"/>
        <v>34183.327171069999</v>
      </c>
      <c r="I74" s="89">
        <f t="shared" si="39"/>
        <v>34183.327171069999</v>
      </c>
      <c r="J74" s="89">
        <f t="shared" si="39"/>
        <v>34183.327171069999</v>
      </c>
      <c r="K74" s="89">
        <f t="shared" si="39"/>
        <v>34183.327171069999</v>
      </c>
      <c r="L74" s="89">
        <f t="shared" si="39"/>
        <v>34183.327171069999</v>
      </c>
      <c r="M74" s="89">
        <f t="shared" si="39"/>
        <v>34183.327171069999</v>
      </c>
      <c r="N74" s="89">
        <f t="shared" si="37"/>
        <v>410199.9260528399</v>
      </c>
    </row>
    <row r="75" spans="1:14" x14ac:dyDescent="0.2">
      <c r="A75" s="58" t="s">
        <v>117</v>
      </c>
      <c r="B75" s="219">
        <f>$B$62*1.01</f>
        <v>17566.70417107</v>
      </c>
      <c r="C75" s="219">
        <f t="shared" ref="C75:M75" si="40">$B$62*1.01</f>
        <v>17566.70417107</v>
      </c>
      <c r="D75" s="219">
        <f t="shared" si="40"/>
        <v>17566.70417107</v>
      </c>
      <c r="E75" s="219">
        <f t="shared" si="40"/>
        <v>17566.70417107</v>
      </c>
      <c r="F75" s="219">
        <f t="shared" si="40"/>
        <v>17566.70417107</v>
      </c>
      <c r="G75" s="219">
        <f t="shared" si="40"/>
        <v>17566.70417107</v>
      </c>
      <c r="H75" s="219">
        <f t="shared" si="40"/>
        <v>17566.70417107</v>
      </c>
      <c r="I75" s="219">
        <f t="shared" si="40"/>
        <v>17566.70417107</v>
      </c>
      <c r="J75" s="219">
        <f t="shared" si="40"/>
        <v>17566.70417107</v>
      </c>
      <c r="K75" s="219">
        <f t="shared" si="40"/>
        <v>17566.70417107</v>
      </c>
      <c r="L75" s="219">
        <f t="shared" si="40"/>
        <v>17566.70417107</v>
      </c>
      <c r="M75" s="219">
        <f t="shared" si="40"/>
        <v>17566.70417107</v>
      </c>
      <c r="N75" s="70">
        <f t="shared" si="37"/>
        <v>210800.45005284005</v>
      </c>
    </row>
    <row r="76" spans="1:14" x14ac:dyDescent="0.2">
      <c r="A76" s="58" t="s">
        <v>118</v>
      </c>
      <c r="B76" s="219">
        <f>$B$10</f>
        <v>16616.623</v>
      </c>
      <c r="C76" s="219">
        <f t="shared" ref="C76:M76" si="41">$B$10</f>
        <v>16616.623</v>
      </c>
      <c r="D76" s="219">
        <f t="shared" si="41"/>
        <v>16616.623</v>
      </c>
      <c r="E76" s="219">
        <f t="shared" si="41"/>
        <v>16616.623</v>
      </c>
      <c r="F76" s="219">
        <f t="shared" si="41"/>
        <v>16616.623</v>
      </c>
      <c r="G76" s="219">
        <f t="shared" si="41"/>
        <v>16616.623</v>
      </c>
      <c r="H76" s="219">
        <f t="shared" si="41"/>
        <v>16616.623</v>
      </c>
      <c r="I76" s="219">
        <f t="shared" si="41"/>
        <v>16616.623</v>
      </c>
      <c r="J76" s="219">
        <f t="shared" si="41"/>
        <v>16616.623</v>
      </c>
      <c r="K76" s="219">
        <f t="shared" si="41"/>
        <v>16616.623</v>
      </c>
      <c r="L76" s="219">
        <f t="shared" si="41"/>
        <v>16616.623</v>
      </c>
      <c r="M76" s="219">
        <f t="shared" si="41"/>
        <v>16616.623</v>
      </c>
      <c r="N76" s="70">
        <f t="shared" si="37"/>
        <v>199399.47599999994</v>
      </c>
    </row>
    <row r="77" spans="1:14" x14ac:dyDescent="0.2">
      <c r="A77" s="90" t="s">
        <v>119</v>
      </c>
      <c r="B77" s="91">
        <f t="shared" ref="B77:M77" si="42">+B74+B70</f>
        <v>181273.97940349113</v>
      </c>
      <c r="C77" s="91">
        <f t="shared" si="42"/>
        <v>181273.97940349113</v>
      </c>
      <c r="D77" s="91">
        <f t="shared" si="42"/>
        <v>181273.97940349113</v>
      </c>
      <c r="E77" s="91">
        <f t="shared" si="42"/>
        <v>181273.97940349113</v>
      </c>
      <c r="F77" s="91">
        <f t="shared" si="42"/>
        <v>181273.97940349113</v>
      </c>
      <c r="G77" s="91">
        <f t="shared" si="42"/>
        <v>181273.97940349113</v>
      </c>
      <c r="H77" s="91">
        <f t="shared" si="42"/>
        <v>181273.97940349113</v>
      </c>
      <c r="I77" s="91">
        <f t="shared" si="42"/>
        <v>181273.97940349113</v>
      </c>
      <c r="J77" s="91">
        <f t="shared" si="42"/>
        <v>181273.97940349113</v>
      </c>
      <c r="K77" s="91">
        <f t="shared" si="42"/>
        <v>181273.97940349113</v>
      </c>
      <c r="L77" s="91">
        <f t="shared" si="42"/>
        <v>181273.97940349113</v>
      </c>
      <c r="M77" s="91">
        <f t="shared" si="42"/>
        <v>181273.97940349113</v>
      </c>
      <c r="N77" s="100">
        <f>+N74+N70</f>
        <v>2175287.7528418931</v>
      </c>
    </row>
    <row r="81" spans="1:14" ht="15.75" x14ac:dyDescent="0.25">
      <c r="B81" s="435" t="s">
        <v>135</v>
      </c>
      <c r="C81" s="435"/>
      <c r="D81" s="435"/>
      <c r="E81" s="435"/>
      <c r="F81" s="435"/>
      <c r="G81" s="435"/>
      <c r="H81" s="435"/>
      <c r="I81" s="435"/>
      <c r="J81" s="435"/>
      <c r="K81" s="435"/>
      <c r="L81" s="435"/>
      <c r="M81" s="435"/>
      <c r="N81" s="435"/>
    </row>
    <row r="82" spans="1:14" ht="15.75" x14ac:dyDescent="0.25">
      <c r="A82" s="85" t="s">
        <v>111</v>
      </c>
      <c r="B82" s="370">
        <v>1</v>
      </c>
      <c r="C82" s="370">
        <v>2</v>
      </c>
      <c r="D82" s="370">
        <v>3</v>
      </c>
      <c r="E82" s="370">
        <v>4</v>
      </c>
      <c r="F82" s="370">
        <v>5</v>
      </c>
      <c r="G82" s="370">
        <v>6</v>
      </c>
      <c r="H82" s="370">
        <v>7</v>
      </c>
      <c r="I82" s="370">
        <v>8</v>
      </c>
      <c r="J82" s="370">
        <v>9</v>
      </c>
      <c r="K82" s="370">
        <v>10</v>
      </c>
      <c r="L82" s="370">
        <v>11</v>
      </c>
      <c r="M82" s="370">
        <v>12</v>
      </c>
      <c r="N82" s="370" t="s">
        <v>28</v>
      </c>
    </row>
    <row r="83" spans="1:14" ht="15.75" x14ac:dyDescent="0.25">
      <c r="A83" s="86" t="s">
        <v>112</v>
      </c>
      <c r="B83" s="87">
        <f>SUM(B84:B86)</f>
        <v>148070.17616867158</v>
      </c>
      <c r="C83" s="87">
        <f>SUM(C84:C86)</f>
        <v>148070.17616867158</v>
      </c>
      <c r="D83" s="87">
        <f t="shared" ref="D83:J83" si="43">SUM(D84:D86)</f>
        <v>148070.17616867158</v>
      </c>
      <c r="E83" s="87">
        <f t="shared" si="43"/>
        <v>148070.17616867158</v>
      </c>
      <c r="F83" s="87">
        <f t="shared" si="43"/>
        <v>148070.17616867158</v>
      </c>
      <c r="G83" s="87">
        <f t="shared" si="43"/>
        <v>148070.17616867158</v>
      </c>
      <c r="H83" s="87">
        <f t="shared" si="43"/>
        <v>148070.17616867158</v>
      </c>
      <c r="I83" s="87">
        <f t="shared" si="43"/>
        <v>148070.17616867158</v>
      </c>
      <c r="J83" s="87">
        <f t="shared" si="43"/>
        <v>148070.17616867158</v>
      </c>
      <c r="K83" s="87">
        <f>SUM(K84:K86)</f>
        <v>148070.17616867158</v>
      </c>
      <c r="L83" s="87">
        <f t="shared" ref="L83:N83" si="44">SUM(L84:L86)</f>
        <v>148070.17616867158</v>
      </c>
      <c r="M83" s="87">
        <f t="shared" si="44"/>
        <v>148070.17616867158</v>
      </c>
      <c r="N83" s="87">
        <f t="shared" si="44"/>
        <v>1776842.1140240591</v>
      </c>
    </row>
    <row r="84" spans="1:14" x14ac:dyDescent="0.2">
      <c r="A84" s="23" t="s">
        <v>113</v>
      </c>
      <c r="B84" s="167">
        <f>$B$71*1.0075</f>
        <v>108428.95537808166</v>
      </c>
      <c r="C84" s="167">
        <f t="shared" ref="C84:M84" si="45">$B$71*1.0075</f>
        <v>108428.95537808166</v>
      </c>
      <c r="D84" s="167">
        <f t="shared" si="45"/>
        <v>108428.95537808166</v>
      </c>
      <c r="E84" s="167">
        <f t="shared" si="45"/>
        <v>108428.95537808166</v>
      </c>
      <c r="F84" s="167">
        <f t="shared" si="45"/>
        <v>108428.95537808166</v>
      </c>
      <c r="G84" s="167">
        <f t="shared" si="45"/>
        <v>108428.95537808166</v>
      </c>
      <c r="H84" s="167">
        <f t="shared" si="45"/>
        <v>108428.95537808166</v>
      </c>
      <c r="I84" s="167">
        <f t="shared" si="45"/>
        <v>108428.95537808166</v>
      </c>
      <c r="J84" s="167">
        <f t="shared" si="45"/>
        <v>108428.95537808166</v>
      </c>
      <c r="K84" s="167">
        <f t="shared" si="45"/>
        <v>108428.95537808166</v>
      </c>
      <c r="L84" s="167">
        <f t="shared" si="45"/>
        <v>108428.95537808166</v>
      </c>
      <c r="M84" s="167">
        <f t="shared" si="45"/>
        <v>108428.95537808166</v>
      </c>
      <c r="N84" s="98">
        <f t="shared" ref="N84:N89" si="46">SUM(B84:M84)</f>
        <v>1301147.46453698</v>
      </c>
    </row>
    <row r="85" spans="1:14" x14ac:dyDescent="0.2">
      <c r="A85" s="23" t="s">
        <v>114</v>
      </c>
      <c r="B85" s="167">
        <f>$B$72*1.01</f>
        <v>17408.410167851402</v>
      </c>
      <c r="C85" s="167">
        <f t="shared" ref="C85:M85" si="47">$B$72*1.01</f>
        <v>17408.410167851402</v>
      </c>
      <c r="D85" s="167">
        <f t="shared" si="47"/>
        <v>17408.410167851402</v>
      </c>
      <c r="E85" s="167">
        <f t="shared" si="47"/>
        <v>17408.410167851402</v>
      </c>
      <c r="F85" s="167">
        <f t="shared" si="47"/>
        <v>17408.410167851402</v>
      </c>
      <c r="G85" s="167">
        <f t="shared" si="47"/>
        <v>17408.410167851402</v>
      </c>
      <c r="H85" s="167">
        <f t="shared" si="47"/>
        <v>17408.410167851402</v>
      </c>
      <c r="I85" s="167">
        <f t="shared" si="47"/>
        <v>17408.410167851402</v>
      </c>
      <c r="J85" s="167">
        <f t="shared" si="47"/>
        <v>17408.410167851402</v>
      </c>
      <c r="K85" s="167">
        <f t="shared" si="47"/>
        <v>17408.410167851402</v>
      </c>
      <c r="L85" s="167">
        <f t="shared" si="47"/>
        <v>17408.410167851402</v>
      </c>
      <c r="M85" s="167">
        <f t="shared" si="47"/>
        <v>17408.410167851402</v>
      </c>
      <c r="N85" s="98">
        <f t="shared" si="46"/>
        <v>208900.92201421681</v>
      </c>
    </row>
    <row r="86" spans="1:14" x14ac:dyDescent="0.2">
      <c r="A86" s="88" t="s">
        <v>115</v>
      </c>
      <c r="B86" s="221">
        <f>'M. DE CALCULO DE COSTOS VARIABL'!$F$42</f>
        <v>22232.810622738518</v>
      </c>
      <c r="C86" s="221">
        <f>'M. DE CALCULO DE COSTOS VARIABL'!$F$42</f>
        <v>22232.810622738518</v>
      </c>
      <c r="D86" s="221">
        <f>'M. DE CALCULO DE COSTOS VARIABL'!$F$42</f>
        <v>22232.810622738518</v>
      </c>
      <c r="E86" s="221">
        <f>'M. DE CALCULO DE COSTOS VARIABL'!$F$42</f>
        <v>22232.810622738518</v>
      </c>
      <c r="F86" s="221">
        <f>'M. DE CALCULO DE COSTOS VARIABL'!$F$42</f>
        <v>22232.810622738518</v>
      </c>
      <c r="G86" s="221">
        <f>'M. DE CALCULO DE COSTOS VARIABL'!$F$42</f>
        <v>22232.810622738518</v>
      </c>
      <c r="H86" s="221">
        <f>'M. DE CALCULO DE COSTOS VARIABL'!$F$42</f>
        <v>22232.810622738518</v>
      </c>
      <c r="I86" s="221">
        <f>'M. DE CALCULO DE COSTOS VARIABL'!$F$42</f>
        <v>22232.810622738518</v>
      </c>
      <c r="J86" s="221">
        <f>'M. DE CALCULO DE COSTOS VARIABL'!$F$42</f>
        <v>22232.810622738518</v>
      </c>
      <c r="K86" s="221">
        <f>'M. DE CALCULO DE COSTOS VARIABL'!$F$42</f>
        <v>22232.810622738518</v>
      </c>
      <c r="L86" s="221">
        <f>'M. DE CALCULO DE COSTOS VARIABL'!$F$42</f>
        <v>22232.810622738518</v>
      </c>
      <c r="M86" s="221">
        <f>'M. DE CALCULO DE COSTOS VARIABL'!$F$42</f>
        <v>22232.810622738518</v>
      </c>
      <c r="N86" s="98">
        <f t="shared" si="46"/>
        <v>266793.72747286229</v>
      </c>
    </row>
    <row r="87" spans="1:14" ht="15.75" x14ac:dyDescent="0.25">
      <c r="A87" s="86" t="s">
        <v>116</v>
      </c>
      <c r="B87" s="89">
        <f>B88+B89</f>
        <v>34358.994212780701</v>
      </c>
      <c r="C87" s="89">
        <f t="shared" ref="C87:M87" si="48">SUM(C88:C89)</f>
        <v>34358.994212780701</v>
      </c>
      <c r="D87" s="89">
        <f t="shared" si="48"/>
        <v>34358.994212780701</v>
      </c>
      <c r="E87" s="89">
        <f t="shared" si="48"/>
        <v>34358.994212780701</v>
      </c>
      <c r="F87" s="89">
        <f t="shared" si="48"/>
        <v>34358.994212780701</v>
      </c>
      <c r="G87" s="89">
        <f t="shared" si="48"/>
        <v>34358.994212780701</v>
      </c>
      <c r="H87" s="89">
        <f t="shared" si="48"/>
        <v>34358.994212780701</v>
      </c>
      <c r="I87" s="89">
        <f t="shared" si="48"/>
        <v>34358.994212780701</v>
      </c>
      <c r="J87" s="89">
        <f t="shared" si="48"/>
        <v>34358.994212780701</v>
      </c>
      <c r="K87" s="89">
        <f t="shared" si="48"/>
        <v>34358.994212780701</v>
      </c>
      <c r="L87" s="89">
        <f t="shared" si="48"/>
        <v>34358.994212780701</v>
      </c>
      <c r="M87" s="89">
        <f t="shared" si="48"/>
        <v>34358.994212780701</v>
      </c>
      <c r="N87" s="89">
        <f t="shared" si="46"/>
        <v>412307.93055336853</v>
      </c>
    </row>
    <row r="88" spans="1:14" x14ac:dyDescent="0.2">
      <c r="A88" s="58" t="s">
        <v>117</v>
      </c>
      <c r="B88" s="219">
        <f>$B$75*1.01</f>
        <v>17742.371212780701</v>
      </c>
      <c r="C88" s="219">
        <f>$B$75*1.01</f>
        <v>17742.371212780701</v>
      </c>
      <c r="D88" s="219">
        <f t="shared" ref="D88:M88" si="49">$B$75*1.01</f>
        <v>17742.371212780701</v>
      </c>
      <c r="E88" s="219">
        <f t="shared" si="49"/>
        <v>17742.371212780701</v>
      </c>
      <c r="F88" s="219">
        <f t="shared" si="49"/>
        <v>17742.371212780701</v>
      </c>
      <c r="G88" s="219">
        <f t="shared" si="49"/>
        <v>17742.371212780701</v>
      </c>
      <c r="H88" s="219">
        <f t="shared" si="49"/>
        <v>17742.371212780701</v>
      </c>
      <c r="I88" s="219">
        <f t="shared" si="49"/>
        <v>17742.371212780701</v>
      </c>
      <c r="J88" s="219">
        <f t="shared" si="49"/>
        <v>17742.371212780701</v>
      </c>
      <c r="K88" s="219">
        <f t="shared" si="49"/>
        <v>17742.371212780701</v>
      </c>
      <c r="L88" s="219">
        <f t="shared" si="49"/>
        <v>17742.371212780701</v>
      </c>
      <c r="M88" s="219">
        <f t="shared" si="49"/>
        <v>17742.371212780701</v>
      </c>
      <c r="N88" s="70">
        <f t="shared" si="46"/>
        <v>212908.45455336847</v>
      </c>
    </row>
    <row r="89" spans="1:14" x14ac:dyDescent="0.2">
      <c r="A89" s="58" t="s">
        <v>118</v>
      </c>
      <c r="B89" s="219">
        <f>$B$10</f>
        <v>16616.623</v>
      </c>
      <c r="C89" s="219">
        <f>$B$10</f>
        <v>16616.623</v>
      </c>
      <c r="D89" s="219">
        <f t="shared" ref="D89:M89" si="50">$B$10</f>
        <v>16616.623</v>
      </c>
      <c r="E89" s="219">
        <f t="shared" si="50"/>
        <v>16616.623</v>
      </c>
      <c r="F89" s="219">
        <f t="shared" si="50"/>
        <v>16616.623</v>
      </c>
      <c r="G89" s="219">
        <f t="shared" si="50"/>
        <v>16616.623</v>
      </c>
      <c r="H89" s="219">
        <f t="shared" si="50"/>
        <v>16616.623</v>
      </c>
      <c r="I89" s="219">
        <f t="shared" si="50"/>
        <v>16616.623</v>
      </c>
      <c r="J89" s="219">
        <f t="shared" si="50"/>
        <v>16616.623</v>
      </c>
      <c r="K89" s="219">
        <f t="shared" si="50"/>
        <v>16616.623</v>
      </c>
      <c r="L89" s="219">
        <f t="shared" si="50"/>
        <v>16616.623</v>
      </c>
      <c r="M89" s="219">
        <f t="shared" si="50"/>
        <v>16616.623</v>
      </c>
      <c r="N89" s="70">
        <f t="shared" si="46"/>
        <v>199399.47599999994</v>
      </c>
    </row>
    <row r="90" spans="1:14" x14ac:dyDescent="0.2">
      <c r="A90" s="90" t="s">
        <v>119</v>
      </c>
      <c r="B90" s="91">
        <f t="shared" ref="B90:M90" si="51">+B87+B83</f>
        <v>182429.17038145228</v>
      </c>
      <c r="C90" s="91">
        <f t="shared" si="51"/>
        <v>182429.17038145228</v>
      </c>
      <c r="D90" s="91">
        <f t="shared" si="51"/>
        <v>182429.17038145228</v>
      </c>
      <c r="E90" s="91">
        <f t="shared" si="51"/>
        <v>182429.17038145228</v>
      </c>
      <c r="F90" s="91">
        <f t="shared" si="51"/>
        <v>182429.17038145228</v>
      </c>
      <c r="G90" s="91">
        <f t="shared" si="51"/>
        <v>182429.17038145228</v>
      </c>
      <c r="H90" s="91">
        <f t="shared" si="51"/>
        <v>182429.17038145228</v>
      </c>
      <c r="I90" s="91">
        <f t="shared" si="51"/>
        <v>182429.17038145228</v>
      </c>
      <c r="J90" s="91">
        <f t="shared" si="51"/>
        <v>182429.17038145228</v>
      </c>
      <c r="K90" s="91">
        <f t="shared" si="51"/>
        <v>182429.17038145228</v>
      </c>
      <c r="L90" s="91">
        <f t="shared" si="51"/>
        <v>182429.17038145228</v>
      </c>
      <c r="M90" s="91">
        <f t="shared" si="51"/>
        <v>182429.17038145228</v>
      </c>
      <c r="N90" s="100">
        <f>+N87+N83</f>
        <v>2189150.0445774277</v>
      </c>
    </row>
    <row r="95" spans="1:14" ht="15.75" x14ac:dyDescent="0.25">
      <c r="B95" s="435" t="s">
        <v>135</v>
      </c>
      <c r="C95" s="435"/>
      <c r="D95" s="435"/>
      <c r="E95" s="435"/>
      <c r="F95" s="435"/>
      <c r="G95" s="435"/>
      <c r="H95" s="435"/>
      <c r="I95" s="435"/>
      <c r="J95" s="435"/>
      <c r="K95" s="435"/>
      <c r="L95" s="435"/>
      <c r="M95" s="435"/>
      <c r="N95" s="435"/>
    </row>
    <row r="96" spans="1:14" ht="15.75" x14ac:dyDescent="0.25">
      <c r="A96" s="85" t="s">
        <v>111</v>
      </c>
      <c r="B96" s="370">
        <v>1</v>
      </c>
      <c r="C96" s="370">
        <v>2</v>
      </c>
      <c r="D96" s="370">
        <v>3</v>
      </c>
      <c r="E96" s="370">
        <v>4</v>
      </c>
      <c r="F96" s="370">
        <v>5</v>
      </c>
      <c r="G96" s="370">
        <v>6</v>
      </c>
      <c r="H96" s="370">
        <v>7</v>
      </c>
      <c r="I96" s="370">
        <v>8</v>
      </c>
      <c r="J96" s="370">
        <v>9</v>
      </c>
      <c r="K96" s="370">
        <v>10</v>
      </c>
      <c r="L96" s="370">
        <v>11</v>
      </c>
      <c r="M96" s="370">
        <v>12</v>
      </c>
      <c r="N96" s="370" t="s">
        <v>28</v>
      </c>
    </row>
    <row r="97" spans="1:14" ht="15.75" x14ac:dyDescent="0.25">
      <c r="A97" s="86" t="s">
        <v>112</v>
      </c>
      <c r="B97" s="87">
        <f>SUM(B98:B100)</f>
        <v>149057.47743568604</v>
      </c>
      <c r="C97" s="87">
        <f>SUM(C98:C100)</f>
        <v>149057.47743568604</v>
      </c>
      <c r="D97" s="87">
        <f t="shared" ref="D97:J97" si="52">SUM(D98:D100)</f>
        <v>149057.47743568604</v>
      </c>
      <c r="E97" s="87">
        <f t="shared" si="52"/>
        <v>149057.47743568604</v>
      </c>
      <c r="F97" s="87">
        <f t="shared" si="52"/>
        <v>149057.47743568604</v>
      </c>
      <c r="G97" s="87">
        <f t="shared" si="52"/>
        <v>149057.47743568604</v>
      </c>
      <c r="H97" s="87">
        <f t="shared" si="52"/>
        <v>149057.47743568604</v>
      </c>
      <c r="I97" s="87">
        <f t="shared" si="52"/>
        <v>149057.47743568604</v>
      </c>
      <c r="J97" s="87">
        <f t="shared" si="52"/>
        <v>149057.47743568604</v>
      </c>
      <c r="K97" s="87">
        <f>SUM(K98:K100)</f>
        <v>149057.47743568604</v>
      </c>
      <c r="L97" s="87">
        <f t="shared" ref="L97:N97" si="53">SUM(L98:L100)</f>
        <v>149057.47743568604</v>
      </c>
      <c r="M97" s="87">
        <f t="shared" si="53"/>
        <v>149057.47743568604</v>
      </c>
      <c r="N97" s="87">
        <f t="shared" si="53"/>
        <v>1788689.729228233</v>
      </c>
    </row>
    <row r="98" spans="1:14" x14ac:dyDescent="0.2">
      <c r="A98" s="23" t="s">
        <v>113</v>
      </c>
      <c r="B98" s="171">
        <f>108428.955378082*1.0075</f>
        <v>109242.17254341762</v>
      </c>
      <c r="C98" s="171">
        <f t="shared" ref="C98:M98" si="54">108428.955378082*1.0075</f>
        <v>109242.17254341762</v>
      </c>
      <c r="D98" s="171">
        <f t="shared" si="54"/>
        <v>109242.17254341762</v>
      </c>
      <c r="E98" s="171">
        <f t="shared" si="54"/>
        <v>109242.17254341762</v>
      </c>
      <c r="F98" s="171">
        <f t="shared" si="54"/>
        <v>109242.17254341762</v>
      </c>
      <c r="G98" s="171">
        <f t="shared" si="54"/>
        <v>109242.17254341762</v>
      </c>
      <c r="H98" s="171">
        <f t="shared" si="54"/>
        <v>109242.17254341762</v>
      </c>
      <c r="I98" s="171">
        <f t="shared" si="54"/>
        <v>109242.17254341762</v>
      </c>
      <c r="J98" s="171">
        <f t="shared" si="54"/>
        <v>109242.17254341762</v>
      </c>
      <c r="K98" s="171">
        <f t="shared" si="54"/>
        <v>109242.17254341762</v>
      </c>
      <c r="L98" s="171">
        <f t="shared" si="54"/>
        <v>109242.17254341762</v>
      </c>
      <c r="M98" s="171">
        <f t="shared" si="54"/>
        <v>109242.17254341762</v>
      </c>
      <c r="N98" s="98">
        <f t="shared" ref="N98:N103" si="55">SUM(B98:M98)</f>
        <v>1310906.0705210117</v>
      </c>
    </row>
    <row r="99" spans="1:14" x14ac:dyDescent="0.2">
      <c r="A99" s="23" t="s">
        <v>114</v>
      </c>
      <c r="B99" s="171">
        <f>17408.4101678514*1.01</f>
        <v>17582.494269529914</v>
      </c>
      <c r="C99" s="171">
        <f t="shared" ref="C99:M99" si="56">17408.4101678514*1.01</f>
        <v>17582.494269529914</v>
      </c>
      <c r="D99" s="171">
        <f t="shared" si="56"/>
        <v>17582.494269529914</v>
      </c>
      <c r="E99" s="171">
        <f t="shared" si="56"/>
        <v>17582.494269529914</v>
      </c>
      <c r="F99" s="171">
        <f t="shared" si="56"/>
        <v>17582.494269529914</v>
      </c>
      <c r="G99" s="171">
        <f t="shared" si="56"/>
        <v>17582.494269529914</v>
      </c>
      <c r="H99" s="171">
        <f t="shared" si="56"/>
        <v>17582.494269529914</v>
      </c>
      <c r="I99" s="171">
        <f t="shared" si="56"/>
        <v>17582.494269529914</v>
      </c>
      <c r="J99" s="171">
        <f t="shared" si="56"/>
        <v>17582.494269529914</v>
      </c>
      <c r="K99" s="171">
        <f t="shared" si="56"/>
        <v>17582.494269529914</v>
      </c>
      <c r="L99" s="171">
        <f t="shared" si="56"/>
        <v>17582.494269529914</v>
      </c>
      <c r="M99" s="171">
        <f t="shared" si="56"/>
        <v>17582.494269529914</v>
      </c>
      <c r="N99" s="98">
        <f t="shared" si="55"/>
        <v>210989.93123435896</v>
      </c>
    </row>
    <row r="100" spans="1:14" x14ac:dyDescent="0.2">
      <c r="A100" s="88" t="s">
        <v>115</v>
      </c>
      <c r="B100" s="221">
        <v>22232.810622738518</v>
      </c>
      <c r="C100" s="221">
        <v>22232.810622738518</v>
      </c>
      <c r="D100" s="221">
        <v>22232.810622738518</v>
      </c>
      <c r="E100" s="221">
        <v>22232.810622738518</v>
      </c>
      <c r="F100" s="221">
        <v>22232.810622738518</v>
      </c>
      <c r="G100" s="221">
        <v>22232.810622738518</v>
      </c>
      <c r="H100" s="221">
        <v>22232.810622738518</v>
      </c>
      <c r="I100" s="221">
        <f>'M. DE CALCULO DE COSTOS VARIABL'!$F$42</f>
        <v>22232.810622738518</v>
      </c>
      <c r="J100" s="221">
        <v>22232.810622738518</v>
      </c>
      <c r="K100" s="221">
        <v>22232.810622738518</v>
      </c>
      <c r="L100" s="221">
        <v>22232.810622738518</v>
      </c>
      <c r="M100" s="221">
        <v>22232.810622738518</v>
      </c>
      <c r="N100" s="98">
        <f t="shared" si="55"/>
        <v>266793.72747286229</v>
      </c>
    </row>
    <row r="101" spans="1:14" ht="15.75" x14ac:dyDescent="0.25">
      <c r="A101" s="86" t="s">
        <v>116</v>
      </c>
      <c r="B101" s="89">
        <f>B102+B103</f>
        <v>34536.417924908506</v>
      </c>
      <c r="C101" s="89">
        <f t="shared" ref="C101:M101" si="57">SUM(C102:C103)</f>
        <v>34536.417924908506</v>
      </c>
      <c r="D101" s="89">
        <f t="shared" si="57"/>
        <v>34536.417924908506</v>
      </c>
      <c r="E101" s="89">
        <f t="shared" si="57"/>
        <v>34536.417924908506</v>
      </c>
      <c r="F101" s="89">
        <f t="shared" si="57"/>
        <v>34536.417924908506</v>
      </c>
      <c r="G101" s="89">
        <f t="shared" si="57"/>
        <v>34536.417924908506</v>
      </c>
      <c r="H101" s="89">
        <f t="shared" si="57"/>
        <v>34536.417924908506</v>
      </c>
      <c r="I101" s="89">
        <f t="shared" si="57"/>
        <v>34536.417924908506</v>
      </c>
      <c r="J101" s="89">
        <f t="shared" si="57"/>
        <v>34536.417924908506</v>
      </c>
      <c r="K101" s="89">
        <f t="shared" si="57"/>
        <v>34536.417924908506</v>
      </c>
      <c r="L101" s="89">
        <f t="shared" si="57"/>
        <v>34536.417924908506</v>
      </c>
      <c r="M101" s="89">
        <f t="shared" si="57"/>
        <v>34536.417924908506</v>
      </c>
      <c r="N101" s="89">
        <f t="shared" si="55"/>
        <v>414437.01509890211</v>
      </c>
    </row>
    <row r="102" spans="1:14" x14ac:dyDescent="0.2">
      <c r="A102" s="58" t="s">
        <v>117</v>
      </c>
      <c r="B102" s="219">
        <f>17742.3712127807*1.01</f>
        <v>17919.794924908507</v>
      </c>
      <c r="C102" s="219">
        <f t="shared" ref="C102:M102" si="58">17742.3712127807*1.01</f>
        <v>17919.794924908507</v>
      </c>
      <c r="D102" s="219">
        <f t="shared" si="58"/>
        <v>17919.794924908507</v>
      </c>
      <c r="E102" s="219">
        <f t="shared" si="58"/>
        <v>17919.794924908507</v>
      </c>
      <c r="F102" s="219">
        <f t="shared" si="58"/>
        <v>17919.794924908507</v>
      </c>
      <c r="G102" s="219">
        <f t="shared" si="58"/>
        <v>17919.794924908507</v>
      </c>
      <c r="H102" s="219">
        <f t="shared" si="58"/>
        <v>17919.794924908507</v>
      </c>
      <c r="I102" s="219">
        <f t="shared" si="58"/>
        <v>17919.794924908507</v>
      </c>
      <c r="J102" s="219">
        <f t="shared" si="58"/>
        <v>17919.794924908507</v>
      </c>
      <c r="K102" s="219">
        <f t="shared" si="58"/>
        <v>17919.794924908507</v>
      </c>
      <c r="L102" s="219">
        <f t="shared" si="58"/>
        <v>17919.794924908507</v>
      </c>
      <c r="M102" s="219">
        <f t="shared" si="58"/>
        <v>17919.794924908507</v>
      </c>
      <c r="N102" s="70">
        <f t="shared" si="55"/>
        <v>215037.53909890202</v>
      </c>
    </row>
    <row r="103" spans="1:14" x14ac:dyDescent="0.2">
      <c r="A103" s="58" t="s">
        <v>118</v>
      </c>
      <c r="B103" s="219">
        <v>16616.623</v>
      </c>
      <c r="C103" s="219">
        <v>16616.623</v>
      </c>
      <c r="D103" s="219">
        <v>16616.623</v>
      </c>
      <c r="E103" s="219">
        <v>16616.623</v>
      </c>
      <c r="F103" s="219">
        <v>16616.623</v>
      </c>
      <c r="G103" s="219">
        <v>16616.623</v>
      </c>
      <c r="H103" s="219">
        <v>16616.623</v>
      </c>
      <c r="I103" s="219">
        <v>16616.623</v>
      </c>
      <c r="J103" s="219">
        <v>16616.623</v>
      </c>
      <c r="K103" s="219">
        <v>16616.623</v>
      </c>
      <c r="L103" s="219">
        <v>16616.623</v>
      </c>
      <c r="M103" s="219">
        <v>16616.623</v>
      </c>
      <c r="N103" s="70">
        <f t="shared" si="55"/>
        <v>199399.47599999994</v>
      </c>
    </row>
    <row r="104" spans="1:14" x14ac:dyDescent="0.2">
      <c r="A104" s="90" t="s">
        <v>119</v>
      </c>
      <c r="B104" s="91">
        <f t="shared" ref="B104:M104" si="59">+B101+B97</f>
        <v>183593.89536059456</v>
      </c>
      <c r="C104" s="91">
        <f t="shared" si="59"/>
        <v>183593.89536059456</v>
      </c>
      <c r="D104" s="91">
        <f t="shared" si="59"/>
        <v>183593.89536059456</v>
      </c>
      <c r="E104" s="91">
        <f t="shared" si="59"/>
        <v>183593.89536059456</v>
      </c>
      <c r="F104" s="91">
        <f t="shared" si="59"/>
        <v>183593.89536059456</v>
      </c>
      <c r="G104" s="91">
        <f t="shared" si="59"/>
        <v>183593.89536059456</v>
      </c>
      <c r="H104" s="91">
        <f t="shared" si="59"/>
        <v>183593.89536059456</v>
      </c>
      <c r="I104" s="91">
        <f t="shared" si="59"/>
        <v>183593.89536059456</v>
      </c>
      <c r="J104" s="91">
        <f t="shared" si="59"/>
        <v>183593.89536059456</v>
      </c>
      <c r="K104" s="91">
        <f t="shared" si="59"/>
        <v>183593.89536059456</v>
      </c>
      <c r="L104" s="91">
        <f t="shared" si="59"/>
        <v>183593.89536059456</v>
      </c>
      <c r="M104" s="91">
        <f t="shared" si="59"/>
        <v>183593.89536059456</v>
      </c>
      <c r="N104" s="100">
        <f>+N101+N97</f>
        <v>2203126.7443271349</v>
      </c>
    </row>
  </sheetData>
  <mergeCells count="15">
    <mergeCell ref="B95:N95"/>
    <mergeCell ref="B68:N68"/>
    <mergeCell ref="B81:N81"/>
    <mergeCell ref="B55:N55"/>
    <mergeCell ref="B2:N2"/>
    <mergeCell ref="B27:N27"/>
    <mergeCell ref="J15:L15"/>
    <mergeCell ref="J19:L19"/>
    <mergeCell ref="B42:N42"/>
    <mergeCell ref="J14:N14"/>
    <mergeCell ref="J18:N18"/>
    <mergeCell ref="J16:L16"/>
    <mergeCell ref="J17:L17"/>
    <mergeCell ref="J20:L20"/>
    <mergeCell ref="J21:L21"/>
  </mergeCells>
  <phoneticPr fontId="15" type="noConversion"/>
  <pageMargins left="0.75" right="0.75" top="1" bottom="1" header="0" footer="0"/>
  <pageSetup paperSize="9" orientation="portrait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C5E1-15FE-43BE-8115-324C1555DA0D}">
  <sheetPr>
    <tabColor theme="8" tint="-0.249977111117893"/>
  </sheetPr>
  <dimension ref="A1:R49"/>
  <sheetViews>
    <sheetView zoomScale="78" workbookViewId="0">
      <selection activeCell="E35" sqref="E35"/>
    </sheetView>
    <sheetView zoomScale="52" zoomScaleNormal="100" workbookViewId="1">
      <selection activeCell="P29" sqref="P29"/>
    </sheetView>
  </sheetViews>
  <sheetFormatPr baseColWidth="10" defaultColWidth="11.42578125" defaultRowHeight="12.75" x14ac:dyDescent="0.2"/>
  <cols>
    <col min="1" max="1" width="45.7109375" customWidth="1"/>
    <col min="2" max="2" width="22" customWidth="1"/>
    <col min="3" max="3" width="7.140625" bestFit="1" customWidth="1"/>
    <col min="4" max="4" width="21.42578125" bestFit="1" customWidth="1"/>
    <col min="5" max="5" width="26.85546875" customWidth="1"/>
    <col min="6" max="6" width="18.28515625" customWidth="1"/>
    <col min="7" max="8" width="17.140625" customWidth="1"/>
    <col min="9" max="9" width="16" customWidth="1"/>
    <col min="10" max="10" width="13.85546875" customWidth="1"/>
    <col min="11" max="11" width="15.140625" customWidth="1"/>
    <col min="12" max="12" width="14.5703125" bestFit="1" customWidth="1"/>
    <col min="13" max="13" width="15" customWidth="1"/>
    <col min="14" max="14" width="14.140625" bestFit="1" customWidth="1"/>
    <col min="15" max="15" width="15.42578125" customWidth="1"/>
    <col min="16" max="16" width="15.5703125" customWidth="1"/>
    <col min="17" max="17" width="17.28515625" customWidth="1"/>
    <col min="18" max="18" width="17.7109375" customWidth="1"/>
  </cols>
  <sheetData>
    <row r="1" spans="1:17" ht="18" x14ac:dyDescent="0.25">
      <c r="A1" s="47" t="s">
        <v>74</v>
      </c>
    </row>
    <row r="3" spans="1:17" ht="18" x14ac:dyDescent="0.25">
      <c r="A3" s="47" t="s">
        <v>148</v>
      </c>
    </row>
    <row r="5" spans="1:17" ht="15.75" x14ac:dyDescent="0.25">
      <c r="A5" s="2" t="s">
        <v>14</v>
      </c>
      <c r="B5" s="2"/>
    </row>
    <row r="6" spans="1:17" ht="15.75" x14ac:dyDescent="0.25">
      <c r="A6" s="2" t="s">
        <v>15</v>
      </c>
      <c r="B6" s="2"/>
    </row>
    <row r="7" spans="1:17" ht="15.75" x14ac:dyDescent="0.25">
      <c r="A7" s="2" t="s">
        <v>16</v>
      </c>
      <c r="B7" s="2"/>
    </row>
    <row r="9" spans="1:17" ht="15.75" x14ac:dyDescent="0.25">
      <c r="A9" s="519" t="s">
        <v>149</v>
      </c>
      <c r="B9" s="520"/>
      <c r="C9" s="520"/>
      <c r="D9" s="520"/>
      <c r="E9" s="521"/>
      <c r="F9" s="445" t="s">
        <v>150</v>
      </c>
      <c r="G9" s="445"/>
      <c r="H9" s="445"/>
      <c r="I9" s="445"/>
      <c r="J9" s="445"/>
      <c r="K9" s="445"/>
      <c r="L9" s="445"/>
      <c r="M9" s="445"/>
      <c r="N9" s="445"/>
      <c r="O9" s="445"/>
      <c r="P9" s="445"/>
      <c r="Q9" s="446"/>
    </row>
    <row r="10" spans="1:17" ht="15.75" x14ac:dyDescent="0.25">
      <c r="A10" s="124"/>
      <c r="B10" s="99" t="s">
        <v>29</v>
      </c>
      <c r="C10" s="125" t="s">
        <v>151</v>
      </c>
      <c r="D10" s="126" t="s">
        <v>152</v>
      </c>
      <c r="E10" s="126" t="s">
        <v>28</v>
      </c>
      <c r="F10" s="602">
        <v>1</v>
      </c>
      <c r="G10" s="602">
        <v>2</v>
      </c>
      <c r="H10" s="602">
        <v>3</v>
      </c>
      <c r="I10" s="602">
        <v>4</v>
      </c>
      <c r="J10" s="603">
        <v>5</v>
      </c>
      <c r="K10" s="603">
        <v>6</v>
      </c>
      <c r="L10" s="603">
        <v>7</v>
      </c>
      <c r="M10" s="603">
        <v>8</v>
      </c>
      <c r="N10" s="603">
        <v>9</v>
      </c>
      <c r="O10" s="603">
        <v>10</v>
      </c>
      <c r="P10" s="603">
        <v>11</v>
      </c>
      <c r="Q10" s="604">
        <v>12</v>
      </c>
    </row>
    <row r="11" spans="1:17" ht="30" x14ac:dyDescent="0.2">
      <c r="A11" s="218" t="s">
        <v>153</v>
      </c>
      <c r="B11" s="99" t="s">
        <v>154</v>
      </c>
      <c r="C11" s="125">
        <v>12</v>
      </c>
      <c r="D11" s="126">
        <v>320.93</v>
      </c>
      <c r="E11" s="126">
        <f t="shared" ref="E11:E12" si="0">D11*C11</f>
        <v>3851.16</v>
      </c>
      <c r="F11" s="398">
        <f>D11</f>
        <v>320.93</v>
      </c>
      <c r="G11" s="398">
        <f>D11</f>
        <v>320.93</v>
      </c>
      <c r="H11" s="398">
        <f t="shared" ref="H11" si="1">F11</f>
        <v>320.93</v>
      </c>
      <c r="I11" s="398">
        <f t="shared" ref="I11" si="2">G11</f>
        <v>320.93</v>
      </c>
      <c r="J11" s="398">
        <f t="shared" ref="J11" si="3">H11</f>
        <v>320.93</v>
      </c>
      <c r="K11" s="398">
        <f t="shared" ref="K11" si="4">I11</f>
        <v>320.93</v>
      </c>
      <c r="L11" s="398">
        <f t="shared" ref="L11" si="5">J11</f>
        <v>320.93</v>
      </c>
      <c r="M11" s="398">
        <f t="shared" ref="M11" si="6">K11</f>
        <v>320.93</v>
      </c>
      <c r="N11" s="398">
        <f t="shared" ref="N11" si="7">L11</f>
        <v>320.93</v>
      </c>
      <c r="O11" s="398">
        <f t="shared" ref="O11" si="8">M11</f>
        <v>320.93</v>
      </c>
      <c r="P11" s="398">
        <f t="shared" ref="P11" si="9">N11</f>
        <v>320.93</v>
      </c>
      <c r="Q11" s="398">
        <f t="shared" ref="Q11" si="10">O11</f>
        <v>320.93</v>
      </c>
    </row>
    <row r="12" spans="1:17" ht="15" x14ac:dyDescent="0.2">
      <c r="A12" s="88" t="s">
        <v>157</v>
      </c>
      <c r="B12" s="99" t="s">
        <v>156</v>
      </c>
      <c r="C12" s="125">
        <v>12</v>
      </c>
      <c r="D12" s="126">
        <f>8364.57*2</f>
        <v>16729.14</v>
      </c>
      <c r="E12" s="126">
        <f t="shared" si="0"/>
        <v>200749.68</v>
      </c>
      <c r="F12" s="393">
        <f t="shared" ref="F12:Q12" si="11">$D$32</f>
        <v>16729.14</v>
      </c>
      <c r="G12" s="393">
        <f t="shared" si="11"/>
        <v>16729.14</v>
      </c>
      <c r="H12" s="393">
        <f t="shared" si="11"/>
        <v>16729.14</v>
      </c>
      <c r="I12" s="393">
        <f t="shared" si="11"/>
        <v>16729.14</v>
      </c>
      <c r="J12" s="393">
        <f t="shared" si="11"/>
        <v>16729.14</v>
      </c>
      <c r="K12" s="393">
        <f t="shared" si="11"/>
        <v>16729.14</v>
      </c>
      <c r="L12" s="393">
        <f t="shared" si="11"/>
        <v>16729.14</v>
      </c>
      <c r="M12" s="393">
        <f t="shared" si="11"/>
        <v>16729.14</v>
      </c>
      <c r="N12" s="393">
        <f t="shared" si="11"/>
        <v>16729.14</v>
      </c>
      <c r="O12" s="393">
        <f t="shared" si="11"/>
        <v>16729.14</v>
      </c>
      <c r="P12" s="393">
        <f t="shared" si="11"/>
        <v>16729.14</v>
      </c>
      <c r="Q12" s="393">
        <f t="shared" si="11"/>
        <v>16729.14</v>
      </c>
    </row>
    <row r="13" spans="1:17" ht="15.75" x14ac:dyDescent="0.25">
      <c r="A13" s="127" t="s">
        <v>57</v>
      </c>
      <c r="B13" s="99"/>
      <c r="C13" s="125"/>
      <c r="D13" s="245"/>
      <c r="E13" s="128">
        <f t="shared" ref="E13:Q13" si="12">SUM(E11:E12)</f>
        <v>204600.84</v>
      </c>
      <c r="F13" s="399">
        <f t="shared" si="12"/>
        <v>17050.07</v>
      </c>
      <c r="G13" s="399">
        <f t="shared" si="12"/>
        <v>17050.07</v>
      </c>
      <c r="H13" s="399">
        <f t="shared" si="12"/>
        <v>17050.07</v>
      </c>
      <c r="I13" s="399">
        <f t="shared" si="12"/>
        <v>17050.07</v>
      </c>
      <c r="J13" s="399">
        <f t="shared" si="12"/>
        <v>17050.07</v>
      </c>
      <c r="K13" s="399">
        <f t="shared" si="12"/>
        <v>17050.07</v>
      </c>
      <c r="L13" s="399">
        <f t="shared" si="12"/>
        <v>17050.07</v>
      </c>
      <c r="M13" s="399">
        <f t="shared" si="12"/>
        <v>17050.07</v>
      </c>
      <c r="N13" s="399">
        <f t="shared" si="12"/>
        <v>17050.07</v>
      </c>
      <c r="O13" s="399">
        <f t="shared" si="12"/>
        <v>17050.07</v>
      </c>
      <c r="P13" s="399">
        <f t="shared" si="12"/>
        <v>17050.07</v>
      </c>
      <c r="Q13" s="399">
        <f t="shared" si="12"/>
        <v>17050.07</v>
      </c>
    </row>
    <row r="14" spans="1:17" ht="15.75" x14ac:dyDescent="0.25">
      <c r="A14" s="2"/>
      <c r="B14" s="129"/>
      <c r="C14" s="130"/>
      <c r="D14" s="131"/>
      <c r="E14" s="132"/>
      <c r="F14" s="13"/>
      <c r="G14" s="13"/>
      <c r="H14" s="13"/>
      <c r="I14" s="13"/>
    </row>
    <row r="15" spans="1:17" ht="15.75" x14ac:dyDescent="0.25">
      <c r="A15" s="2"/>
      <c r="B15" s="129"/>
      <c r="C15" s="130"/>
      <c r="D15" s="131"/>
      <c r="E15" s="132"/>
      <c r="F15" s="13"/>
      <c r="G15" s="13"/>
      <c r="H15" s="13"/>
      <c r="I15" s="13"/>
    </row>
    <row r="16" spans="1:17" ht="15.75" x14ac:dyDescent="0.25">
      <c r="A16" s="599" t="s">
        <v>158</v>
      </c>
      <c r="B16" s="600"/>
      <c r="C16" s="600"/>
      <c r="D16" s="600"/>
      <c r="E16" s="601"/>
      <c r="F16" s="445" t="s">
        <v>150</v>
      </c>
      <c r="G16" s="445"/>
      <c r="H16" s="445"/>
      <c r="I16" s="445"/>
      <c r="J16" s="445"/>
      <c r="K16" s="445"/>
      <c r="L16" s="445"/>
      <c r="M16" s="445"/>
      <c r="N16" s="445"/>
      <c r="O16" s="445"/>
      <c r="P16" s="445"/>
      <c r="Q16" s="446"/>
    </row>
    <row r="17" spans="1:18" ht="15.75" x14ac:dyDescent="0.25">
      <c r="A17" s="124"/>
      <c r="B17" s="99"/>
      <c r="C17" s="125"/>
      <c r="D17" s="126"/>
      <c r="E17" s="126"/>
      <c r="F17" s="602">
        <v>1</v>
      </c>
      <c r="G17" s="602">
        <v>2</v>
      </c>
      <c r="H17" s="602">
        <v>3</v>
      </c>
      <c r="I17" s="602">
        <v>4</v>
      </c>
      <c r="J17" s="603">
        <v>5</v>
      </c>
      <c r="K17" s="603">
        <v>6</v>
      </c>
      <c r="L17" s="603">
        <v>7</v>
      </c>
      <c r="M17" s="603">
        <v>8</v>
      </c>
      <c r="N17" s="603">
        <v>9</v>
      </c>
      <c r="O17" s="603">
        <v>10</v>
      </c>
      <c r="P17" s="603">
        <v>11</v>
      </c>
      <c r="Q17" s="604">
        <v>12</v>
      </c>
      <c r="R17" s="168"/>
    </row>
    <row r="18" spans="1:18" ht="15" x14ac:dyDescent="0.2">
      <c r="A18" s="88" t="s">
        <v>159</v>
      </c>
      <c r="B18" s="99" t="s">
        <v>160</v>
      </c>
      <c r="C18" s="125">
        <v>12</v>
      </c>
      <c r="D18" s="126">
        <f>7908.32*2</f>
        <v>15816.64</v>
      </c>
      <c r="E18" s="126">
        <f t="shared" ref="E18:E20" si="13">D18*C18</f>
        <v>189799.67999999999</v>
      </c>
      <c r="F18" s="398">
        <f>D18</f>
        <v>15816.64</v>
      </c>
      <c r="G18" s="398">
        <f>D18</f>
        <v>15816.64</v>
      </c>
      <c r="H18" s="398">
        <f t="shared" ref="H18" si="14">F18</f>
        <v>15816.64</v>
      </c>
      <c r="I18" s="398">
        <f t="shared" ref="I18" si="15">G18</f>
        <v>15816.64</v>
      </c>
      <c r="J18" s="398">
        <f t="shared" ref="J18" si="16">H18</f>
        <v>15816.64</v>
      </c>
      <c r="K18" s="398">
        <f t="shared" ref="K18" si="17">I18</f>
        <v>15816.64</v>
      </c>
      <c r="L18" s="398">
        <f t="shared" ref="L18" si="18">J18</f>
        <v>15816.64</v>
      </c>
      <c r="M18" s="398">
        <f t="shared" ref="M18" si="19">K18</f>
        <v>15816.64</v>
      </c>
      <c r="N18" s="398">
        <f t="shared" ref="N18" si="20">L18</f>
        <v>15816.64</v>
      </c>
      <c r="O18" s="398">
        <f t="shared" ref="O18" si="21">M18</f>
        <v>15816.64</v>
      </c>
      <c r="P18" s="398">
        <f t="shared" ref="P18" si="22">N18</f>
        <v>15816.64</v>
      </c>
      <c r="Q18" s="398">
        <f t="shared" ref="Q18" si="23">O18</f>
        <v>15816.64</v>
      </c>
      <c r="R18" s="168"/>
    </row>
    <row r="19" spans="1:18" ht="15" x14ac:dyDescent="0.2">
      <c r="A19" s="124" t="s">
        <v>161</v>
      </c>
      <c r="B19" s="99" t="s">
        <v>162</v>
      </c>
      <c r="C19" s="125">
        <v>12</v>
      </c>
      <c r="D19" s="126">
        <v>249.98</v>
      </c>
      <c r="E19" s="126">
        <f t="shared" si="13"/>
        <v>2999.7599999999998</v>
      </c>
      <c r="F19" s="393">
        <f t="shared" ref="F19:Q19" si="24">$D$39</f>
        <v>249.98</v>
      </c>
      <c r="G19" s="393">
        <f t="shared" si="24"/>
        <v>249.98</v>
      </c>
      <c r="H19" s="393">
        <f t="shared" si="24"/>
        <v>249.98</v>
      </c>
      <c r="I19" s="393">
        <f t="shared" si="24"/>
        <v>249.98</v>
      </c>
      <c r="J19" s="393">
        <f t="shared" si="24"/>
        <v>249.98</v>
      </c>
      <c r="K19" s="393">
        <f t="shared" si="24"/>
        <v>249.98</v>
      </c>
      <c r="L19" s="393">
        <f t="shared" si="24"/>
        <v>249.98</v>
      </c>
      <c r="M19" s="393">
        <f t="shared" si="24"/>
        <v>249.98</v>
      </c>
      <c r="N19" s="393">
        <f t="shared" si="24"/>
        <v>249.98</v>
      </c>
      <c r="O19" s="393">
        <f t="shared" si="24"/>
        <v>249.98</v>
      </c>
      <c r="P19" s="393">
        <f t="shared" si="24"/>
        <v>249.98</v>
      </c>
      <c r="Q19" s="393">
        <f t="shared" si="24"/>
        <v>249.98</v>
      </c>
      <c r="R19" s="168"/>
    </row>
    <row r="20" spans="1:18" ht="15" x14ac:dyDescent="0.2">
      <c r="A20" s="124" t="s">
        <v>163</v>
      </c>
      <c r="B20" s="99" t="s">
        <v>162</v>
      </c>
      <c r="C20" s="125">
        <v>12</v>
      </c>
      <c r="D20" s="126">
        <f>550.003</f>
        <v>550.00300000000004</v>
      </c>
      <c r="E20" s="126">
        <f t="shared" si="13"/>
        <v>6600.0360000000001</v>
      </c>
      <c r="F20" s="393">
        <f>D$40</f>
        <v>550.00300000000004</v>
      </c>
      <c r="G20" s="393">
        <f>E$40</f>
        <v>6600.0360000000001</v>
      </c>
      <c r="H20" s="393">
        <f t="shared" ref="H20:Q20" si="25">$F$40</f>
        <v>550.00300000000004</v>
      </c>
      <c r="I20" s="393">
        <f t="shared" si="25"/>
        <v>550.00300000000004</v>
      </c>
      <c r="J20" s="393">
        <f t="shared" si="25"/>
        <v>550.00300000000004</v>
      </c>
      <c r="K20" s="393">
        <f t="shared" si="25"/>
        <v>550.00300000000004</v>
      </c>
      <c r="L20" s="393">
        <f t="shared" si="25"/>
        <v>550.00300000000004</v>
      </c>
      <c r="M20" s="393">
        <f t="shared" si="25"/>
        <v>550.00300000000004</v>
      </c>
      <c r="N20" s="393">
        <f t="shared" si="25"/>
        <v>550.00300000000004</v>
      </c>
      <c r="O20" s="393">
        <f t="shared" si="25"/>
        <v>550.00300000000004</v>
      </c>
      <c r="P20" s="393">
        <f t="shared" si="25"/>
        <v>550.00300000000004</v>
      </c>
      <c r="Q20" s="393">
        <f t="shared" si="25"/>
        <v>550.00300000000004</v>
      </c>
      <c r="R20" s="168">
        <f>SUM(F41:Q41)</f>
        <v>205449.50899999993</v>
      </c>
    </row>
    <row r="21" spans="1:18" ht="15.75" x14ac:dyDescent="0.25">
      <c r="A21" s="4" t="s">
        <v>57</v>
      </c>
      <c r="B21" s="99"/>
      <c r="C21" s="125"/>
      <c r="D21" s="126"/>
      <c r="E21" s="128">
        <f t="shared" ref="E21:Q21" si="26">SUM(E18:E20)</f>
        <v>199399.476</v>
      </c>
      <c r="F21" s="399">
        <f t="shared" si="26"/>
        <v>16616.623</v>
      </c>
      <c r="G21" s="399">
        <f t="shared" si="26"/>
        <v>22666.655999999999</v>
      </c>
      <c r="H21" s="399">
        <f t="shared" si="26"/>
        <v>16616.623</v>
      </c>
      <c r="I21" s="399">
        <f t="shared" si="26"/>
        <v>16616.623</v>
      </c>
      <c r="J21" s="399">
        <f t="shared" si="26"/>
        <v>16616.623</v>
      </c>
      <c r="K21" s="399">
        <f t="shared" si="26"/>
        <v>16616.623</v>
      </c>
      <c r="L21" s="399">
        <f t="shared" si="26"/>
        <v>16616.623</v>
      </c>
      <c r="M21" s="399">
        <f t="shared" si="26"/>
        <v>16616.623</v>
      </c>
      <c r="N21" s="399">
        <f t="shared" si="26"/>
        <v>16616.623</v>
      </c>
      <c r="O21" s="399">
        <f t="shared" si="26"/>
        <v>16616.623</v>
      </c>
      <c r="P21" s="399">
        <f t="shared" si="26"/>
        <v>16616.623</v>
      </c>
      <c r="Q21" s="399">
        <f t="shared" si="26"/>
        <v>16616.623</v>
      </c>
    </row>
    <row r="24" spans="1:18" ht="30" customHeight="1" x14ac:dyDescent="0.2"/>
    <row r="28" spans="1:18" ht="15.75" x14ac:dyDescent="0.25">
      <c r="A28" s="596" t="s">
        <v>149</v>
      </c>
      <c r="B28" s="597"/>
      <c r="C28" s="597"/>
      <c r="D28" s="597"/>
      <c r="E28" s="598"/>
      <c r="F28" s="445" t="s">
        <v>150</v>
      </c>
      <c r="G28" s="445"/>
      <c r="H28" s="445"/>
      <c r="I28" s="445"/>
      <c r="J28" s="445"/>
      <c r="K28" s="445"/>
      <c r="L28" s="445"/>
      <c r="M28" s="445"/>
      <c r="N28" s="445"/>
      <c r="O28" s="445"/>
      <c r="P28" s="445"/>
      <c r="Q28" s="446"/>
    </row>
    <row r="29" spans="1:18" ht="15.75" x14ac:dyDescent="0.25">
      <c r="A29" s="124"/>
      <c r="B29" s="99" t="s">
        <v>29</v>
      </c>
      <c r="C29" s="125" t="s">
        <v>151</v>
      </c>
      <c r="D29" s="126" t="s">
        <v>152</v>
      </c>
      <c r="E29" s="126" t="s">
        <v>28</v>
      </c>
      <c r="F29" s="605">
        <v>1</v>
      </c>
      <c r="G29" s="605">
        <v>2</v>
      </c>
      <c r="H29" s="605">
        <v>3</v>
      </c>
      <c r="I29" s="605">
        <v>4</v>
      </c>
      <c r="J29" s="606">
        <v>5</v>
      </c>
      <c r="K29" s="606">
        <v>6</v>
      </c>
      <c r="L29" s="606">
        <v>7</v>
      </c>
      <c r="M29" s="606">
        <v>8</v>
      </c>
      <c r="N29" s="606">
        <v>9</v>
      </c>
      <c r="O29" s="606">
        <v>10</v>
      </c>
      <c r="P29" s="606">
        <v>11</v>
      </c>
      <c r="Q29" s="607">
        <v>12</v>
      </c>
    </row>
    <row r="30" spans="1:18" ht="30" x14ac:dyDescent="0.2">
      <c r="A30" s="218" t="s">
        <v>153</v>
      </c>
      <c r="B30" s="99" t="s">
        <v>154</v>
      </c>
      <c r="C30" s="125">
        <v>12</v>
      </c>
      <c r="D30" s="126">
        <v>320.93</v>
      </c>
      <c r="E30" s="126">
        <f t="shared" ref="E30:E32" si="27">D30*C30</f>
        <v>3851.16</v>
      </c>
      <c r="F30" s="398">
        <f>D30</f>
        <v>320.93</v>
      </c>
      <c r="G30" s="398">
        <f>D30</f>
        <v>320.93</v>
      </c>
      <c r="H30" s="398">
        <f t="shared" ref="H30:Q30" si="28">F30</f>
        <v>320.93</v>
      </c>
      <c r="I30" s="398">
        <f t="shared" si="28"/>
        <v>320.93</v>
      </c>
      <c r="J30" s="398">
        <f t="shared" si="28"/>
        <v>320.93</v>
      </c>
      <c r="K30" s="398">
        <f t="shared" si="28"/>
        <v>320.93</v>
      </c>
      <c r="L30" s="398">
        <f t="shared" si="28"/>
        <v>320.93</v>
      </c>
      <c r="M30" s="398">
        <f t="shared" si="28"/>
        <v>320.93</v>
      </c>
      <c r="N30" s="398">
        <f t="shared" si="28"/>
        <v>320.93</v>
      </c>
      <c r="O30" s="398">
        <f t="shared" si="28"/>
        <v>320.93</v>
      </c>
      <c r="P30" s="398">
        <f t="shared" si="28"/>
        <v>320.93</v>
      </c>
      <c r="Q30" s="398">
        <f t="shared" si="28"/>
        <v>320.93</v>
      </c>
    </row>
    <row r="31" spans="1:18" ht="15" x14ac:dyDescent="0.2">
      <c r="A31" s="88" t="s">
        <v>155</v>
      </c>
      <c r="B31" s="99" t="s">
        <v>156</v>
      </c>
      <c r="C31" s="125">
        <v>12</v>
      </c>
      <c r="D31" s="126">
        <f>6083.32*2</f>
        <v>12166.64</v>
      </c>
      <c r="E31" s="126">
        <f t="shared" si="27"/>
        <v>145999.67999999999</v>
      </c>
      <c r="F31" s="393">
        <f t="shared" ref="F31:Q31" si="29">$D$31</f>
        <v>12166.64</v>
      </c>
      <c r="G31" s="393">
        <f t="shared" si="29"/>
        <v>12166.64</v>
      </c>
      <c r="H31" s="393">
        <f t="shared" si="29"/>
        <v>12166.64</v>
      </c>
      <c r="I31" s="393">
        <f t="shared" si="29"/>
        <v>12166.64</v>
      </c>
      <c r="J31" s="393">
        <f t="shared" si="29"/>
        <v>12166.64</v>
      </c>
      <c r="K31" s="393">
        <f t="shared" si="29"/>
        <v>12166.64</v>
      </c>
      <c r="L31" s="393">
        <f t="shared" si="29"/>
        <v>12166.64</v>
      </c>
      <c r="M31" s="393">
        <f t="shared" si="29"/>
        <v>12166.64</v>
      </c>
      <c r="N31" s="393">
        <f t="shared" si="29"/>
        <v>12166.64</v>
      </c>
      <c r="O31" s="393">
        <f t="shared" si="29"/>
        <v>12166.64</v>
      </c>
      <c r="P31" s="393">
        <f t="shared" si="29"/>
        <v>12166.64</v>
      </c>
      <c r="Q31" s="393">
        <f t="shared" si="29"/>
        <v>12166.64</v>
      </c>
    </row>
    <row r="32" spans="1:18" ht="15" x14ac:dyDescent="0.2">
      <c r="A32" s="88" t="s">
        <v>157</v>
      </c>
      <c r="B32" s="99" t="s">
        <v>156</v>
      </c>
      <c r="C32" s="125">
        <v>12</v>
      </c>
      <c r="D32" s="126">
        <f>8364.57*2</f>
        <v>16729.14</v>
      </c>
      <c r="E32" s="126">
        <f t="shared" si="27"/>
        <v>200749.68</v>
      </c>
      <c r="F32" s="393">
        <f t="shared" ref="F32:Q32" si="30">$D$32</f>
        <v>16729.14</v>
      </c>
      <c r="G32" s="393">
        <f t="shared" si="30"/>
        <v>16729.14</v>
      </c>
      <c r="H32" s="393">
        <f t="shared" si="30"/>
        <v>16729.14</v>
      </c>
      <c r="I32" s="393">
        <f t="shared" si="30"/>
        <v>16729.14</v>
      </c>
      <c r="J32" s="393">
        <f t="shared" si="30"/>
        <v>16729.14</v>
      </c>
      <c r="K32" s="393">
        <f t="shared" si="30"/>
        <v>16729.14</v>
      </c>
      <c r="L32" s="393">
        <f t="shared" si="30"/>
        <v>16729.14</v>
      </c>
      <c r="M32" s="393">
        <f t="shared" si="30"/>
        <v>16729.14</v>
      </c>
      <c r="N32" s="393">
        <f t="shared" si="30"/>
        <v>16729.14</v>
      </c>
      <c r="O32" s="393">
        <f t="shared" si="30"/>
        <v>16729.14</v>
      </c>
      <c r="P32" s="393">
        <f t="shared" si="30"/>
        <v>16729.14</v>
      </c>
      <c r="Q32" s="393">
        <f t="shared" si="30"/>
        <v>16729.14</v>
      </c>
    </row>
    <row r="33" spans="1:17" ht="15.75" x14ac:dyDescent="0.25">
      <c r="A33" s="127" t="s">
        <v>57</v>
      </c>
      <c r="B33" s="99"/>
      <c r="C33" s="125"/>
      <c r="D33" s="245"/>
      <c r="E33" s="128">
        <f t="shared" ref="E33:Q33" si="31">SUM(E30:E32)</f>
        <v>350600.52</v>
      </c>
      <c r="F33" s="399">
        <f t="shared" si="31"/>
        <v>29216.71</v>
      </c>
      <c r="G33" s="399">
        <f t="shared" si="31"/>
        <v>29216.71</v>
      </c>
      <c r="H33" s="399">
        <f t="shared" si="31"/>
        <v>29216.71</v>
      </c>
      <c r="I33" s="399">
        <f t="shared" si="31"/>
        <v>29216.71</v>
      </c>
      <c r="J33" s="399">
        <f t="shared" si="31"/>
        <v>29216.71</v>
      </c>
      <c r="K33" s="399">
        <f t="shared" si="31"/>
        <v>29216.71</v>
      </c>
      <c r="L33" s="399">
        <f t="shared" si="31"/>
        <v>29216.71</v>
      </c>
      <c r="M33" s="399">
        <f t="shared" si="31"/>
        <v>29216.71</v>
      </c>
      <c r="N33" s="399">
        <f t="shared" si="31"/>
        <v>29216.71</v>
      </c>
      <c r="O33" s="399">
        <f t="shared" si="31"/>
        <v>29216.71</v>
      </c>
      <c r="P33" s="399">
        <f t="shared" si="31"/>
        <v>29216.71</v>
      </c>
      <c r="Q33" s="399">
        <f t="shared" si="31"/>
        <v>29216.71</v>
      </c>
    </row>
    <row r="34" spans="1:17" ht="15.75" x14ac:dyDescent="0.25">
      <c r="A34" s="2"/>
      <c r="B34" s="129"/>
      <c r="C34" s="130"/>
      <c r="D34" s="131"/>
      <c r="E34" s="132">
        <f>E32+E30</f>
        <v>204600.84</v>
      </c>
      <c r="F34" s="13"/>
      <c r="G34" s="13"/>
      <c r="H34" s="13"/>
      <c r="I34" s="13"/>
    </row>
    <row r="35" spans="1:17" ht="15.75" x14ac:dyDescent="0.25">
      <c r="A35" s="2"/>
      <c r="B35" s="129"/>
      <c r="C35" s="130"/>
      <c r="D35" s="131"/>
      <c r="E35" s="132"/>
      <c r="F35" s="13"/>
      <c r="G35" s="13"/>
      <c r="H35" s="13"/>
      <c r="I35" s="13"/>
    </row>
    <row r="36" spans="1:17" ht="15.75" x14ac:dyDescent="0.25">
      <c r="A36" s="593" t="s">
        <v>158</v>
      </c>
      <c r="B36" s="594"/>
      <c r="C36" s="594"/>
      <c r="D36" s="594"/>
      <c r="E36" s="595"/>
      <c r="F36" s="445" t="s">
        <v>150</v>
      </c>
      <c r="G36" s="445"/>
      <c r="H36" s="445"/>
      <c r="I36" s="445"/>
      <c r="J36" s="445"/>
      <c r="K36" s="445"/>
      <c r="L36" s="445"/>
      <c r="M36" s="445"/>
      <c r="N36" s="445"/>
      <c r="O36" s="445"/>
      <c r="P36" s="445"/>
      <c r="Q36" s="446"/>
    </row>
    <row r="37" spans="1:17" ht="15.75" x14ac:dyDescent="0.25">
      <c r="A37" s="124"/>
      <c r="B37" s="99"/>
      <c r="C37" s="125"/>
      <c r="D37" s="126"/>
      <c r="E37" s="126"/>
      <c r="F37" s="608">
        <v>1</v>
      </c>
      <c r="G37" s="608">
        <v>2</v>
      </c>
      <c r="H37" s="608">
        <v>3</v>
      </c>
      <c r="I37" s="608">
        <v>4</v>
      </c>
      <c r="J37" s="609">
        <v>5</v>
      </c>
      <c r="K37" s="609">
        <v>6</v>
      </c>
      <c r="L37" s="609">
        <v>7</v>
      </c>
      <c r="M37" s="609">
        <v>8</v>
      </c>
      <c r="N37" s="609">
        <v>9</v>
      </c>
      <c r="O37" s="609">
        <v>10</v>
      </c>
      <c r="P37" s="609">
        <v>11</v>
      </c>
      <c r="Q37" s="610">
        <v>12</v>
      </c>
    </row>
    <row r="38" spans="1:17" ht="15" x14ac:dyDescent="0.2">
      <c r="A38" s="88" t="s">
        <v>159</v>
      </c>
      <c r="B38" s="99" t="s">
        <v>160</v>
      </c>
      <c r="C38" s="125">
        <v>12</v>
      </c>
      <c r="D38" s="126">
        <f>7908.32*2</f>
        <v>15816.64</v>
      </c>
      <c r="E38" s="126">
        <f t="shared" ref="E38:E40" si="32">D38*C38</f>
        <v>189799.67999999999</v>
      </c>
      <c r="F38" s="398">
        <f>D38</f>
        <v>15816.64</v>
      </c>
      <c r="G38" s="398">
        <f>D38</f>
        <v>15816.64</v>
      </c>
      <c r="H38" s="398">
        <f t="shared" ref="H38:Q38" si="33">F38</f>
        <v>15816.64</v>
      </c>
      <c r="I38" s="398">
        <f t="shared" si="33"/>
        <v>15816.64</v>
      </c>
      <c r="J38" s="398">
        <f t="shared" si="33"/>
        <v>15816.64</v>
      </c>
      <c r="K38" s="398">
        <f t="shared" si="33"/>
        <v>15816.64</v>
      </c>
      <c r="L38" s="398">
        <f t="shared" si="33"/>
        <v>15816.64</v>
      </c>
      <c r="M38" s="398">
        <f t="shared" si="33"/>
        <v>15816.64</v>
      </c>
      <c r="N38" s="398">
        <f t="shared" si="33"/>
        <v>15816.64</v>
      </c>
      <c r="O38" s="398">
        <f t="shared" si="33"/>
        <v>15816.64</v>
      </c>
      <c r="P38" s="398">
        <f t="shared" si="33"/>
        <v>15816.64</v>
      </c>
      <c r="Q38" s="398">
        <f t="shared" si="33"/>
        <v>15816.64</v>
      </c>
    </row>
    <row r="39" spans="1:17" ht="15" x14ac:dyDescent="0.2">
      <c r="A39" s="124" t="s">
        <v>161</v>
      </c>
      <c r="B39" s="99" t="s">
        <v>162</v>
      </c>
      <c r="C39" s="125">
        <v>12</v>
      </c>
      <c r="D39" s="126">
        <v>249.98</v>
      </c>
      <c r="E39" s="126">
        <f t="shared" si="32"/>
        <v>2999.7599999999998</v>
      </c>
      <c r="F39" s="393">
        <f t="shared" ref="F39:Q39" si="34">$D$39</f>
        <v>249.98</v>
      </c>
      <c r="G39" s="393">
        <f t="shared" si="34"/>
        <v>249.98</v>
      </c>
      <c r="H39" s="393">
        <f t="shared" si="34"/>
        <v>249.98</v>
      </c>
      <c r="I39" s="393">
        <f t="shared" si="34"/>
        <v>249.98</v>
      </c>
      <c r="J39" s="393">
        <f t="shared" si="34"/>
        <v>249.98</v>
      </c>
      <c r="K39" s="393">
        <f t="shared" si="34"/>
        <v>249.98</v>
      </c>
      <c r="L39" s="393">
        <f t="shared" si="34"/>
        <v>249.98</v>
      </c>
      <c r="M39" s="393">
        <f t="shared" si="34"/>
        <v>249.98</v>
      </c>
      <c r="N39" s="393">
        <f t="shared" si="34"/>
        <v>249.98</v>
      </c>
      <c r="O39" s="393">
        <f t="shared" si="34"/>
        <v>249.98</v>
      </c>
      <c r="P39" s="393">
        <f t="shared" si="34"/>
        <v>249.98</v>
      </c>
      <c r="Q39" s="393">
        <f t="shared" si="34"/>
        <v>249.98</v>
      </c>
    </row>
    <row r="40" spans="1:17" ht="15" x14ac:dyDescent="0.2">
      <c r="A40" s="124" t="s">
        <v>163</v>
      </c>
      <c r="B40" s="99" t="s">
        <v>162</v>
      </c>
      <c r="C40" s="125">
        <v>12</v>
      </c>
      <c r="D40" s="126">
        <f>550.003</f>
        <v>550.00300000000004</v>
      </c>
      <c r="E40" s="126">
        <f t="shared" si="32"/>
        <v>6600.0360000000001</v>
      </c>
      <c r="F40" s="393">
        <f>D$40</f>
        <v>550.00300000000004</v>
      </c>
      <c r="G40" s="393">
        <f>E$40</f>
        <v>6600.0360000000001</v>
      </c>
      <c r="H40" s="393">
        <f t="shared" ref="H40:Q40" si="35">$F$40</f>
        <v>550.00300000000004</v>
      </c>
      <c r="I40" s="393">
        <f t="shared" si="35"/>
        <v>550.00300000000004</v>
      </c>
      <c r="J40" s="393">
        <f t="shared" si="35"/>
        <v>550.00300000000004</v>
      </c>
      <c r="K40" s="393">
        <f t="shared" si="35"/>
        <v>550.00300000000004</v>
      </c>
      <c r="L40" s="393">
        <f t="shared" si="35"/>
        <v>550.00300000000004</v>
      </c>
      <c r="M40" s="393">
        <f t="shared" si="35"/>
        <v>550.00300000000004</v>
      </c>
      <c r="N40" s="393">
        <f t="shared" si="35"/>
        <v>550.00300000000004</v>
      </c>
      <c r="O40" s="393">
        <f t="shared" si="35"/>
        <v>550.00300000000004</v>
      </c>
      <c r="P40" s="393">
        <f t="shared" si="35"/>
        <v>550.00300000000004</v>
      </c>
      <c r="Q40" s="393">
        <f t="shared" si="35"/>
        <v>550.00300000000004</v>
      </c>
    </row>
    <row r="41" spans="1:17" ht="15.75" x14ac:dyDescent="0.25">
      <c r="A41" s="4" t="s">
        <v>57</v>
      </c>
      <c r="B41" s="99"/>
      <c r="C41" s="125"/>
      <c r="D41" s="126"/>
      <c r="E41" s="128">
        <f t="shared" ref="E41:Q41" si="36">SUM(E38:E40)</f>
        <v>199399.476</v>
      </c>
      <c r="F41" s="399">
        <f t="shared" si="36"/>
        <v>16616.623</v>
      </c>
      <c r="G41" s="399">
        <f t="shared" si="36"/>
        <v>22666.655999999999</v>
      </c>
      <c r="H41" s="399">
        <f t="shared" si="36"/>
        <v>16616.623</v>
      </c>
      <c r="I41" s="399">
        <f t="shared" si="36"/>
        <v>16616.623</v>
      </c>
      <c r="J41" s="399">
        <f t="shared" si="36"/>
        <v>16616.623</v>
      </c>
      <c r="K41" s="399">
        <f t="shared" si="36"/>
        <v>16616.623</v>
      </c>
      <c r="L41" s="399">
        <f t="shared" si="36"/>
        <v>16616.623</v>
      </c>
      <c r="M41" s="399">
        <f t="shared" si="36"/>
        <v>16616.623</v>
      </c>
      <c r="N41" s="399">
        <f t="shared" si="36"/>
        <v>16616.623</v>
      </c>
      <c r="O41" s="399">
        <f t="shared" si="36"/>
        <v>16616.623</v>
      </c>
      <c r="P41" s="399">
        <f t="shared" si="36"/>
        <v>16616.623</v>
      </c>
      <c r="Q41" s="399">
        <f t="shared" si="36"/>
        <v>16616.623</v>
      </c>
    </row>
    <row r="42" spans="1:17" ht="15" x14ac:dyDescent="0.2">
      <c r="A42" s="13"/>
      <c r="B42" s="13"/>
      <c r="C42" s="13"/>
      <c r="D42" s="13"/>
      <c r="E42" s="13"/>
      <c r="F42" s="133"/>
      <c r="G42" s="13"/>
      <c r="H42" s="13"/>
      <c r="I42" s="13"/>
    </row>
    <row r="43" spans="1:17" ht="15" x14ac:dyDescent="0.2">
      <c r="A43" s="13"/>
      <c r="B43" s="13"/>
      <c r="C43" s="13"/>
      <c r="D43" s="13"/>
      <c r="E43" s="133">
        <f>E41+E33</f>
        <v>549999.99600000004</v>
      </c>
      <c r="F43" s="13"/>
      <c r="G43" s="13"/>
      <c r="H43" s="13"/>
      <c r="I43" s="13"/>
    </row>
    <row r="44" spans="1:17" ht="15" x14ac:dyDescent="0.2">
      <c r="A44" s="13"/>
      <c r="B44" s="13"/>
      <c r="C44" s="13"/>
      <c r="D44" s="13"/>
      <c r="E44" s="13"/>
      <c r="F44" s="13"/>
      <c r="G44" s="13"/>
      <c r="H44" s="13"/>
      <c r="I44" s="13"/>
    </row>
    <row r="45" spans="1:17" ht="15.75" x14ac:dyDescent="0.25">
      <c r="A45" s="611" t="s">
        <v>164</v>
      </c>
      <c r="B45" s="612"/>
      <c r="C45" s="612"/>
      <c r="D45" s="612"/>
      <c r="E45" s="613"/>
      <c r="F45" s="445" t="s">
        <v>150</v>
      </c>
      <c r="G45" s="445"/>
      <c r="H45" s="445"/>
      <c r="I45" s="445"/>
      <c r="J45" s="445"/>
      <c r="K45" s="445"/>
      <c r="L45" s="445"/>
      <c r="M45" s="445"/>
      <c r="N45" s="445"/>
      <c r="O45" s="445"/>
      <c r="P45" s="445"/>
      <c r="Q45" s="446"/>
    </row>
    <row r="46" spans="1:17" ht="15.75" x14ac:dyDescent="0.25">
      <c r="A46" s="134" t="s">
        <v>70</v>
      </c>
      <c r="B46" s="3" t="s">
        <v>29</v>
      </c>
      <c r="C46" s="135" t="s">
        <v>151</v>
      </c>
      <c r="D46" s="136" t="s">
        <v>152</v>
      </c>
      <c r="E46" s="136" t="s">
        <v>28</v>
      </c>
      <c r="F46" s="614">
        <v>1</v>
      </c>
      <c r="G46" s="614">
        <v>2</v>
      </c>
      <c r="H46" s="614">
        <v>3</v>
      </c>
      <c r="I46" s="614">
        <v>4</v>
      </c>
      <c r="J46" s="615">
        <v>5</v>
      </c>
      <c r="K46" s="615">
        <v>6</v>
      </c>
      <c r="L46" s="615">
        <v>7</v>
      </c>
      <c r="M46" s="615">
        <v>8</v>
      </c>
      <c r="N46" s="615">
        <v>9</v>
      </c>
      <c r="O46" s="615">
        <v>10</v>
      </c>
      <c r="P46" s="615">
        <v>11</v>
      </c>
      <c r="Q46" s="616">
        <v>12</v>
      </c>
    </row>
    <row r="47" spans="1:17" ht="15" x14ac:dyDescent="0.2">
      <c r="A47" s="134" t="s">
        <v>165</v>
      </c>
      <c r="B47" s="3" t="s">
        <v>166</v>
      </c>
      <c r="C47" s="3">
        <v>12</v>
      </c>
      <c r="D47" s="137"/>
      <c r="E47" s="221">
        <f>SUM(F47:Q47)</f>
        <v>350600.52</v>
      </c>
      <c r="F47" s="220">
        <f t="shared" ref="F47:Q47" si="37">F33</f>
        <v>29216.71</v>
      </c>
      <c r="G47" s="220">
        <f t="shared" si="37"/>
        <v>29216.71</v>
      </c>
      <c r="H47" s="220">
        <f t="shared" si="37"/>
        <v>29216.71</v>
      </c>
      <c r="I47" s="220">
        <f t="shared" si="37"/>
        <v>29216.71</v>
      </c>
      <c r="J47" s="220">
        <f t="shared" si="37"/>
        <v>29216.71</v>
      </c>
      <c r="K47" s="220">
        <f t="shared" si="37"/>
        <v>29216.71</v>
      </c>
      <c r="L47" s="220">
        <f t="shared" si="37"/>
        <v>29216.71</v>
      </c>
      <c r="M47" s="220">
        <f t="shared" si="37"/>
        <v>29216.71</v>
      </c>
      <c r="N47" s="220">
        <f t="shared" si="37"/>
        <v>29216.71</v>
      </c>
      <c r="O47" s="220">
        <f t="shared" si="37"/>
        <v>29216.71</v>
      </c>
      <c r="P47" s="220">
        <f t="shared" si="37"/>
        <v>29216.71</v>
      </c>
      <c r="Q47" s="220">
        <f t="shared" si="37"/>
        <v>29216.71</v>
      </c>
    </row>
    <row r="48" spans="1:17" ht="15" x14ac:dyDescent="0.2">
      <c r="A48" s="134" t="s">
        <v>167</v>
      </c>
      <c r="B48" s="3" t="s">
        <v>168</v>
      </c>
      <c r="C48" s="3">
        <v>12</v>
      </c>
      <c r="D48" s="137"/>
      <c r="E48" s="221">
        <f t="shared" ref="E48:Q48" si="38">E41</f>
        <v>199399.476</v>
      </c>
      <c r="F48" s="221">
        <f t="shared" si="38"/>
        <v>16616.623</v>
      </c>
      <c r="G48" s="221">
        <f t="shared" si="38"/>
        <v>22666.655999999999</v>
      </c>
      <c r="H48" s="221">
        <f t="shared" si="38"/>
        <v>16616.623</v>
      </c>
      <c r="I48" s="221">
        <f t="shared" si="38"/>
        <v>16616.623</v>
      </c>
      <c r="J48" s="221">
        <f t="shared" si="38"/>
        <v>16616.623</v>
      </c>
      <c r="K48" s="221">
        <f t="shared" si="38"/>
        <v>16616.623</v>
      </c>
      <c r="L48" s="221">
        <f t="shared" si="38"/>
        <v>16616.623</v>
      </c>
      <c r="M48" s="221">
        <f t="shared" si="38"/>
        <v>16616.623</v>
      </c>
      <c r="N48" s="221">
        <f t="shared" si="38"/>
        <v>16616.623</v>
      </c>
      <c r="O48" s="221">
        <f t="shared" si="38"/>
        <v>16616.623</v>
      </c>
      <c r="P48" s="221">
        <f t="shared" si="38"/>
        <v>16616.623</v>
      </c>
      <c r="Q48" s="221">
        <f t="shared" si="38"/>
        <v>16616.623</v>
      </c>
    </row>
    <row r="49" spans="1:17" ht="15" x14ac:dyDescent="0.2">
      <c r="A49" s="414" t="s">
        <v>169</v>
      </c>
      <c r="B49" s="415"/>
      <c r="C49" s="415"/>
      <c r="D49" s="416"/>
      <c r="E49" s="271">
        <f>E47+E48</f>
        <v>549999.99600000004</v>
      </c>
      <c r="F49" s="271">
        <f t="shared" ref="F49:Q49" si="39">SUM(F47:F48)</f>
        <v>45833.332999999999</v>
      </c>
      <c r="G49" s="271">
        <f t="shared" si="39"/>
        <v>51883.365999999995</v>
      </c>
      <c r="H49" s="271">
        <f t="shared" si="39"/>
        <v>45833.332999999999</v>
      </c>
      <c r="I49" s="271">
        <f t="shared" si="39"/>
        <v>45833.332999999999</v>
      </c>
      <c r="J49" s="271">
        <f t="shared" si="39"/>
        <v>45833.332999999999</v>
      </c>
      <c r="K49" s="271">
        <f t="shared" si="39"/>
        <v>45833.332999999999</v>
      </c>
      <c r="L49" s="271">
        <f t="shared" si="39"/>
        <v>45833.332999999999</v>
      </c>
      <c r="M49" s="271">
        <f t="shared" si="39"/>
        <v>45833.332999999999</v>
      </c>
      <c r="N49" s="271">
        <f t="shared" si="39"/>
        <v>45833.332999999999</v>
      </c>
      <c r="O49" s="271">
        <f t="shared" si="39"/>
        <v>45833.332999999999</v>
      </c>
      <c r="P49" s="271">
        <f t="shared" si="39"/>
        <v>45833.332999999999</v>
      </c>
      <c r="Q49" s="271">
        <f t="shared" si="39"/>
        <v>45833.332999999999</v>
      </c>
    </row>
  </sheetData>
  <mergeCells count="10">
    <mergeCell ref="A9:E9"/>
    <mergeCell ref="F9:Q9"/>
    <mergeCell ref="A16:E16"/>
    <mergeCell ref="F16:Q16"/>
    <mergeCell ref="F45:Q45"/>
    <mergeCell ref="A28:E28"/>
    <mergeCell ref="F28:Q28"/>
    <mergeCell ref="A36:E36"/>
    <mergeCell ref="F36:Q36"/>
    <mergeCell ref="A45:E45"/>
  </mergeCells>
  <pageMargins left="0.75" right="0.75" top="1" bottom="1" header="0" footer="0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6117-2A7C-4190-BAC0-EEFEC00C76AA}">
  <sheetPr>
    <tabColor theme="8" tint="-0.249977111117893"/>
  </sheetPr>
  <dimension ref="A1:J73"/>
  <sheetViews>
    <sheetView topLeftCell="A12" zoomScale="82" workbookViewId="0">
      <selection activeCell="G26" sqref="G26"/>
    </sheetView>
    <sheetView zoomScale="54" zoomScaleNormal="100" workbookViewId="1">
      <selection activeCell="N33" sqref="N33"/>
    </sheetView>
  </sheetViews>
  <sheetFormatPr baseColWidth="10" defaultColWidth="11.42578125" defaultRowHeight="12.75" x14ac:dyDescent="0.2"/>
  <cols>
    <col min="1" max="1" width="48.42578125" customWidth="1"/>
    <col min="2" max="2" width="19.140625" customWidth="1"/>
    <col min="4" max="4" width="15" bestFit="1" customWidth="1"/>
    <col min="5" max="5" width="17.42578125" customWidth="1"/>
    <col min="6" max="6" width="45.5703125" customWidth="1"/>
    <col min="7" max="7" width="15.140625" bestFit="1" customWidth="1"/>
    <col min="10" max="10" width="15" bestFit="1" customWidth="1"/>
  </cols>
  <sheetData>
    <row r="1" spans="1:10" ht="18" x14ac:dyDescent="0.25">
      <c r="A1" s="47" t="s">
        <v>74</v>
      </c>
    </row>
    <row r="3" spans="1:10" ht="18" x14ac:dyDescent="0.25">
      <c r="A3" s="47" t="s">
        <v>170</v>
      </c>
    </row>
    <row r="5" spans="1:10" ht="15.75" x14ac:dyDescent="0.25">
      <c r="A5" s="2" t="s">
        <v>14</v>
      </c>
      <c r="B5" s="2"/>
    </row>
    <row r="6" spans="1:10" ht="15.75" x14ac:dyDescent="0.25">
      <c r="A6" s="2" t="s">
        <v>15</v>
      </c>
      <c r="B6" s="2"/>
    </row>
    <row r="7" spans="1:10" ht="15.75" x14ac:dyDescent="0.25">
      <c r="A7" s="2" t="s">
        <v>16</v>
      </c>
      <c r="B7" s="2"/>
    </row>
    <row r="8" spans="1:10" ht="15.75" customHeight="1" x14ac:dyDescent="0.25">
      <c r="A8" s="519" t="s">
        <v>171</v>
      </c>
      <c r="B8" s="520"/>
      <c r="C8" s="520"/>
      <c r="D8" s="520"/>
      <c r="E8" s="521"/>
      <c r="F8" s="592" t="s">
        <v>171</v>
      </c>
      <c r="G8" s="520"/>
      <c r="H8" s="520"/>
      <c r="I8" s="520"/>
      <c r="J8" s="521"/>
    </row>
    <row r="9" spans="1:10" ht="15" x14ac:dyDescent="0.2">
      <c r="A9" s="124" t="s">
        <v>172</v>
      </c>
      <c r="B9" s="99" t="s">
        <v>29</v>
      </c>
      <c r="C9" s="125" t="s">
        <v>151</v>
      </c>
      <c r="D9" s="126" t="s">
        <v>152</v>
      </c>
      <c r="E9" s="126" t="s">
        <v>28</v>
      </c>
      <c r="F9" s="198"/>
      <c r="G9" s="369" t="s">
        <v>29</v>
      </c>
      <c r="H9" s="125" t="s">
        <v>151</v>
      </c>
      <c r="I9" s="126" t="s">
        <v>152</v>
      </c>
      <c r="J9" s="126" t="s">
        <v>28</v>
      </c>
    </row>
    <row r="10" spans="1:10" ht="15" x14ac:dyDescent="0.2">
      <c r="A10" s="124" t="s">
        <v>173</v>
      </c>
      <c r="B10" s="99" t="s">
        <v>174</v>
      </c>
      <c r="C10" s="125">
        <v>300</v>
      </c>
      <c r="D10" s="126">
        <v>25</v>
      </c>
      <c r="E10" s="126">
        <f>C10*D10</f>
        <v>7500</v>
      </c>
      <c r="F10" s="124" t="s">
        <v>175</v>
      </c>
      <c r="G10" s="99" t="s">
        <v>174</v>
      </c>
      <c r="H10" s="125">
        <v>350</v>
      </c>
      <c r="I10" s="126">
        <v>32</v>
      </c>
      <c r="J10" s="126">
        <f>H10*I10</f>
        <v>11200</v>
      </c>
    </row>
    <row r="11" spans="1:10" ht="15" x14ac:dyDescent="0.2">
      <c r="A11" s="23" t="s">
        <v>176</v>
      </c>
      <c r="B11" s="99" t="s">
        <v>177</v>
      </c>
      <c r="C11" s="125">
        <v>200</v>
      </c>
      <c r="D11" s="126">
        <v>26</v>
      </c>
      <c r="E11" s="126">
        <f>C11*D11</f>
        <v>5200</v>
      </c>
      <c r="F11" s="23" t="s">
        <v>176</v>
      </c>
      <c r="G11" s="99" t="s">
        <v>177</v>
      </c>
      <c r="H11" s="125">
        <v>250</v>
      </c>
      <c r="I11" s="126">
        <v>26</v>
      </c>
      <c r="J11" s="126">
        <f t="shared" ref="J11:J17" si="0">H11*I11</f>
        <v>6500</v>
      </c>
    </row>
    <row r="12" spans="1:10" ht="15" x14ac:dyDescent="0.2">
      <c r="A12" s="88" t="s">
        <v>178</v>
      </c>
      <c r="B12" s="99" t="s">
        <v>179</v>
      </c>
      <c r="C12" s="125">
        <v>1200</v>
      </c>
      <c r="D12" s="126">
        <v>4</v>
      </c>
      <c r="E12" s="126">
        <f>C12*D12</f>
        <v>4800</v>
      </c>
      <c r="F12" s="88" t="s">
        <v>180</v>
      </c>
      <c r="G12" s="99" t="s">
        <v>179</v>
      </c>
      <c r="H12" s="125">
        <v>1200</v>
      </c>
      <c r="I12" s="126">
        <v>4</v>
      </c>
      <c r="J12" s="126">
        <f t="shared" si="0"/>
        <v>4800</v>
      </c>
    </row>
    <row r="13" spans="1:10" ht="15" x14ac:dyDescent="0.2">
      <c r="A13" s="88" t="s">
        <v>181</v>
      </c>
      <c r="B13" s="99" t="s">
        <v>182</v>
      </c>
      <c r="C13" s="125">
        <v>1350</v>
      </c>
      <c r="D13" s="201">
        <v>0.75</v>
      </c>
      <c r="E13" s="126">
        <f t="shared" ref="E13:E20" si="1">C13*D13</f>
        <v>1012.5</v>
      </c>
      <c r="F13" s="88" t="s">
        <v>181</v>
      </c>
      <c r="G13" s="99" t="s">
        <v>182</v>
      </c>
      <c r="H13" s="125">
        <v>1400</v>
      </c>
      <c r="I13" s="201">
        <v>0.75</v>
      </c>
      <c r="J13" s="126">
        <f t="shared" si="0"/>
        <v>1050</v>
      </c>
    </row>
    <row r="14" spans="1:10" ht="15" x14ac:dyDescent="0.2">
      <c r="A14" s="88" t="s">
        <v>183</v>
      </c>
      <c r="B14" s="99" t="s">
        <v>174</v>
      </c>
      <c r="C14" s="217">
        <v>1.5</v>
      </c>
      <c r="D14" s="126">
        <v>70</v>
      </c>
      <c r="E14" s="126">
        <f t="shared" si="1"/>
        <v>105</v>
      </c>
      <c r="F14" s="88" t="s">
        <v>184</v>
      </c>
      <c r="G14" s="99" t="s">
        <v>174</v>
      </c>
      <c r="H14" s="217">
        <v>30</v>
      </c>
      <c r="I14" s="126">
        <v>40</v>
      </c>
      <c r="J14" s="126">
        <f t="shared" si="0"/>
        <v>1200</v>
      </c>
    </row>
    <row r="15" spans="1:10" ht="15" x14ac:dyDescent="0.2">
      <c r="A15" s="88" t="s">
        <v>185</v>
      </c>
      <c r="B15" s="99" t="s">
        <v>174</v>
      </c>
      <c r="C15" s="125">
        <v>2.25</v>
      </c>
      <c r="D15" s="126">
        <v>40</v>
      </c>
      <c r="E15" s="126">
        <f t="shared" si="1"/>
        <v>90</v>
      </c>
      <c r="F15" s="88" t="s">
        <v>186</v>
      </c>
      <c r="G15" s="99" t="s">
        <v>174</v>
      </c>
      <c r="H15" s="125">
        <v>130</v>
      </c>
      <c r="I15" s="126">
        <v>35</v>
      </c>
      <c r="J15" s="126">
        <f t="shared" si="0"/>
        <v>4550</v>
      </c>
    </row>
    <row r="16" spans="1:10" ht="15" x14ac:dyDescent="0.2">
      <c r="A16" s="88" t="s">
        <v>187</v>
      </c>
      <c r="B16" s="99" t="s">
        <v>174</v>
      </c>
      <c r="C16" s="180">
        <v>5</v>
      </c>
      <c r="D16" s="126">
        <v>35</v>
      </c>
      <c r="E16" s="126">
        <f t="shared" si="1"/>
        <v>175</v>
      </c>
      <c r="F16" s="88" t="s">
        <v>188</v>
      </c>
      <c r="G16" s="99" t="s">
        <v>174</v>
      </c>
      <c r="H16" s="125">
        <v>15</v>
      </c>
      <c r="I16" s="126">
        <v>40</v>
      </c>
      <c r="J16" s="126">
        <f t="shared" si="0"/>
        <v>600</v>
      </c>
    </row>
    <row r="17" spans="1:10" ht="15" x14ac:dyDescent="0.2">
      <c r="A17" s="88" t="s">
        <v>189</v>
      </c>
      <c r="B17" s="99" t="s">
        <v>174</v>
      </c>
      <c r="C17" s="125">
        <v>15</v>
      </c>
      <c r="D17" s="126">
        <v>32</v>
      </c>
      <c r="E17" s="126">
        <f t="shared" si="1"/>
        <v>480</v>
      </c>
      <c r="F17" s="88" t="s">
        <v>190</v>
      </c>
      <c r="G17" s="99" t="s">
        <v>174</v>
      </c>
      <c r="H17" s="125">
        <v>30</v>
      </c>
      <c r="I17" s="126">
        <v>50</v>
      </c>
      <c r="J17" s="126">
        <f t="shared" si="0"/>
        <v>1500</v>
      </c>
    </row>
    <row r="18" spans="1:10" ht="15" x14ac:dyDescent="0.2">
      <c r="A18" s="88" t="s">
        <v>191</v>
      </c>
      <c r="B18" s="99" t="s">
        <v>174</v>
      </c>
      <c r="C18" s="125">
        <v>12</v>
      </c>
      <c r="D18" s="126">
        <v>70</v>
      </c>
      <c r="E18" s="126">
        <f t="shared" si="1"/>
        <v>840</v>
      </c>
      <c r="F18" s="88" t="s">
        <v>192</v>
      </c>
      <c r="G18" s="99" t="s">
        <v>193</v>
      </c>
      <c r="H18" s="125">
        <v>20</v>
      </c>
      <c r="I18" s="126">
        <v>40</v>
      </c>
      <c r="J18" s="126">
        <f>I18*H18</f>
        <v>800</v>
      </c>
    </row>
    <row r="19" spans="1:10" ht="15" x14ac:dyDescent="0.2">
      <c r="A19" s="88" t="s">
        <v>194</v>
      </c>
      <c r="B19" s="99" t="s">
        <v>174</v>
      </c>
      <c r="C19" s="217">
        <v>7.5</v>
      </c>
      <c r="D19" s="126">
        <v>60</v>
      </c>
      <c r="E19" s="126">
        <f>C19*D19</f>
        <v>450</v>
      </c>
      <c r="F19" s="88"/>
      <c r="G19" s="99"/>
      <c r="H19" s="125"/>
      <c r="I19" s="126"/>
      <c r="J19" s="126"/>
    </row>
    <row r="20" spans="1:10" ht="15" x14ac:dyDescent="0.2">
      <c r="A20" s="88" t="s">
        <v>195</v>
      </c>
      <c r="B20" s="99" t="s">
        <v>182</v>
      </c>
      <c r="C20" s="217">
        <v>1</v>
      </c>
      <c r="D20" s="126">
        <v>30</v>
      </c>
      <c r="E20" s="126">
        <f t="shared" si="1"/>
        <v>30</v>
      </c>
      <c r="F20" s="88"/>
      <c r="G20" s="99"/>
      <c r="H20" s="125"/>
      <c r="I20" s="126"/>
      <c r="J20" s="126"/>
    </row>
    <row r="21" spans="1:10" ht="15.75" x14ac:dyDescent="0.25">
      <c r="A21" s="127" t="s">
        <v>57</v>
      </c>
      <c r="B21" s="99"/>
      <c r="C21" s="125"/>
      <c r="D21" s="126"/>
      <c r="E21" s="128">
        <f>SUM(E10:E20)</f>
        <v>20682.5</v>
      </c>
      <c r="F21" s="127" t="s">
        <v>57</v>
      </c>
      <c r="G21" s="99"/>
      <c r="H21" s="125"/>
      <c r="I21" s="126"/>
      <c r="J21" s="128">
        <f>SUM(J10:J20)</f>
        <v>32200</v>
      </c>
    </row>
    <row r="22" spans="1:10" ht="15.75" x14ac:dyDescent="0.25">
      <c r="A22" s="2"/>
      <c r="B22" s="129"/>
      <c r="C22" s="130"/>
      <c r="D22" s="131"/>
      <c r="E22" s="132"/>
      <c r="F22" s="13"/>
      <c r="G22" s="13"/>
      <c r="H22" s="13"/>
    </row>
    <row r="23" spans="1:10" ht="15.75" x14ac:dyDescent="0.25">
      <c r="A23" s="2"/>
      <c r="B23" s="129"/>
      <c r="C23" s="130"/>
      <c r="D23" s="131"/>
      <c r="E23" s="132"/>
      <c r="F23" s="13"/>
      <c r="G23" s="13"/>
      <c r="H23" s="13"/>
    </row>
    <row r="24" spans="1:10" ht="15.75" x14ac:dyDescent="0.25">
      <c r="A24" s="593" t="s">
        <v>196</v>
      </c>
      <c r="B24" s="594"/>
      <c r="C24" s="594"/>
      <c r="D24" s="594"/>
      <c r="E24" s="595"/>
      <c r="F24" s="13"/>
      <c r="G24" s="13"/>
      <c r="H24" s="13"/>
    </row>
    <row r="25" spans="1:10" ht="15" x14ac:dyDescent="0.2">
      <c r="A25" s="124" t="s">
        <v>197</v>
      </c>
      <c r="B25" s="99" t="s">
        <v>156</v>
      </c>
      <c r="C25" s="125">
        <v>12</v>
      </c>
      <c r="D25" s="126">
        <f>4562.49*2</f>
        <v>9124.98</v>
      </c>
      <c r="E25" s="126">
        <f>C25*D25</f>
        <v>109499.76</v>
      </c>
      <c r="F25" s="13"/>
      <c r="G25" s="13"/>
      <c r="H25" s="13"/>
    </row>
    <row r="26" spans="1:10" ht="15.75" x14ac:dyDescent="0.25">
      <c r="A26" s="88" t="s">
        <v>198</v>
      </c>
      <c r="B26" s="99" t="s">
        <v>156</v>
      </c>
      <c r="C26" s="125">
        <v>12</v>
      </c>
      <c r="D26" s="126">
        <f>3802.08*2</f>
        <v>7604.16</v>
      </c>
      <c r="E26" s="126">
        <f>D26*C26</f>
        <v>91249.919999999998</v>
      </c>
      <c r="F26" s="2" t="s">
        <v>199</v>
      </c>
      <c r="G26" s="283">
        <f>J21+E21</f>
        <v>52882.5</v>
      </c>
      <c r="H26" s="13" t="s">
        <v>200</v>
      </c>
    </row>
    <row r="27" spans="1:10" ht="15.75" x14ac:dyDescent="0.25">
      <c r="A27" s="127" t="s">
        <v>57</v>
      </c>
      <c r="B27" s="99"/>
      <c r="C27" s="125"/>
      <c r="D27" s="128">
        <f>D25+D26</f>
        <v>16729.14</v>
      </c>
      <c r="E27" s="139">
        <f>SUM(E25:E26)</f>
        <v>200749.68</v>
      </c>
      <c r="F27" s="13"/>
      <c r="G27" s="283"/>
      <c r="H27" s="13"/>
    </row>
    <row r="28" spans="1:10" ht="15.75" x14ac:dyDescent="0.25">
      <c r="A28" s="13"/>
      <c r="B28" s="129"/>
      <c r="C28" s="130"/>
      <c r="D28" s="131"/>
      <c r="E28" s="132"/>
      <c r="F28" s="13"/>
      <c r="G28" s="13"/>
      <c r="H28" s="13"/>
    </row>
    <row r="29" spans="1:10" ht="15.75" x14ac:dyDescent="0.25">
      <c r="A29" s="2"/>
      <c r="B29" s="129"/>
      <c r="C29" s="130"/>
      <c r="D29" s="131">
        <f>D25</f>
        <v>9124.98</v>
      </c>
      <c r="E29" s="132">
        <f>E25</f>
        <v>109499.76</v>
      </c>
      <c r="F29" s="13"/>
      <c r="G29" s="13"/>
      <c r="H29" s="13"/>
    </row>
    <row r="30" spans="1:10" ht="15.75" x14ac:dyDescent="0.25">
      <c r="A30" s="2"/>
      <c r="B30" s="129"/>
      <c r="C30" s="130"/>
      <c r="D30" s="131"/>
      <c r="E30" s="132"/>
      <c r="F30" s="13"/>
      <c r="G30" s="13"/>
      <c r="H30" s="13"/>
    </row>
    <row r="31" spans="1:10" ht="15.75" x14ac:dyDescent="0.25">
      <c r="A31" s="2"/>
      <c r="B31" s="129"/>
      <c r="C31" s="130"/>
      <c r="D31" s="131"/>
      <c r="E31" s="132"/>
      <c r="F31" s="13"/>
      <c r="G31" s="13"/>
      <c r="H31" s="13"/>
    </row>
    <row r="32" spans="1:10" ht="15" x14ac:dyDescent="0.2">
      <c r="A32" s="13"/>
      <c r="B32" s="13"/>
      <c r="C32" s="13"/>
      <c r="D32" s="13"/>
      <c r="E32" s="13"/>
      <c r="F32" s="13"/>
      <c r="G32" s="13"/>
      <c r="H32" s="13"/>
    </row>
    <row r="33" spans="1:8" ht="15" x14ac:dyDescent="0.2">
      <c r="A33" s="13"/>
      <c r="B33" s="13"/>
      <c r="C33" s="13"/>
      <c r="D33" s="13"/>
      <c r="E33" s="13"/>
      <c r="F33" s="13"/>
      <c r="G33" s="270"/>
      <c r="H33" s="270"/>
    </row>
    <row r="34" spans="1:8" ht="15.75" x14ac:dyDescent="0.25">
      <c r="A34" s="596" t="s">
        <v>201</v>
      </c>
      <c r="B34" s="597"/>
      <c r="C34" s="597"/>
      <c r="D34" s="597"/>
      <c r="E34" s="598"/>
      <c r="G34" s="13"/>
      <c r="H34" s="13"/>
    </row>
    <row r="35" spans="1:8" ht="15" x14ac:dyDescent="0.2">
      <c r="A35" s="23" t="s">
        <v>202</v>
      </c>
      <c r="B35" s="99" t="s">
        <v>203</v>
      </c>
      <c r="C35" s="125">
        <v>4070</v>
      </c>
      <c r="D35" s="126" t="s">
        <v>204</v>
      </c>
      <c r="E35" s="126">
        <v>20000</v>
      </c>
      <c r="F35" s="288">
        <f>E35*1.99</f>
        <v>39800</v>
      </c>
      <c r="G35" s="13"/>
      <c r="H35" s="13"/>
    </row>
    <row r="36" spans="1:8" ht="15" x14ac:dyDescent="0.2">
      <c r="A36" s="3" t="s">
        <v>205</v>
      </c>
      <c r="B36" s="99" t="s">
        <v>182</v>
      </c>
      <c r="C36" s="99">
        <v>3000</v>
      </c>
      <c r="D36" s="126">
        <v>10.82</v>
      </c>
      <c r="E36" s="126">
        <v>23000</v>
      </c>
      <c r="F36" s="288">
        <f>E36</f>
        <v>23000</v>
      </c>
      <c r="G36" s="13"/>
      <c r="H36" s="13"/>
    </row>
    <row r="37" spans="1:8" ht="15" x14ac:dyDescent="0.2">
      <c r="A37" s="124" t="s">
        <v>206</v>
      </c>
      <c r="B37" s="99" t="s">
        <v>207</v>
      </c>
      <c r="C37" s="99" t="s">
        <v>204</v>
      </c>
      <c r="D37" s="126">
        <f>E37</f>
        <v>3000</v>
      </c>
      <c r="E37" s="126">
        <v>3000</v>
      </c>
      <c r="F37" s="133">
        <f>E37</f>
        <v>3000</v>
      </c>
      <c r="G37" s="13"/>
      <c r="H37" s="13"/>
    </row>
    <row r="38" spans="1:8" ht="15.75" x14ac:dyDescent="0.25">
      <c r="A38" s="116" t="s">
        <v>208</v>
      </c>
      <c r="B38" s="99" t="s">
        <v>207</v>
      </c>
      <c r="C38" s="99" t="s">
        <v>204</v>
      </c>
      <c r="D38" s="126">
        <f>E38</f>
        <v>6500</v>
      </c>
      <c r="E38" s="128">
        <v>6500</v>
      </c>
      <c r="F38" s="133">
        <f>E38</f>
        <v>6500</v>
      </c>
      <c r="G38" s="13"/>
      <c r="H38" s="13"/>
    </row>
    <row r="39" spans="1:8" ht="15.75" x14ac:dyDescent="0.25">
      <c r="A39" s="3" t="s">
        <v>524</v>
      </c>
      <c r="B39" s="99" t="s">
        <v>156</v>
      </c>
      <c r="C39" s="99">
        <v>12</v>
      </c>
      <c r="D39" s="126">
        <f>'CONCENTRADO DE SUELDOS'!O9</f>
        <v>10286.210622738519</v>
      </c>
      <c r="E39" s="128">
        <f>C39*D39</f>
        <v>123434.52747286223</v>
      </c>
      <c r="F39" s="133"/>
      <c r="G39" s="13"/>
      <c r="H39" s="13"/>
    </row>
    <row r="40" spans="1:8" ht="15" x14ac:dyDescent="0.2">
      <c r="A40" s="23" t="s">
        <v>209</v>
      </c>
      <c r="B40" s="99" t="s">
        <v>156</v>
      </c>
      <c r="C40" s="99">
        <v>12</v>
      </c>
      <c r="D40" s="126">
        <f>3785.8*2</f>
        <v>7571.6</v>
      </c>
      <c r="E40" s="126">
        <f>+C40*D40</f>
        <v>90859.200000000012</v>
      </c>
      <c r="F40" s="133">
        <f>E40</f>
        <v>90859.200000000012</v>
      </c>
      <c r="G40" s="13"/>
      <c r="H40" s="13"/>
    </row>
    <row r="41" spans="1:8" ht="15.75" x14ac:dyDescent="0.25">
      <c r="A41" s="14" t="s">
        <v>57</v>
      </c>
      <c r="B41" s="99"/>
      <c r="C41" s="99"/>
      <c r="D41" s="284"/>
      <c r="E41" s="128">
        <f>SUM(E35:E40)</f>
        <v>266793.72747286223</v>
      </c>
      <c r="F41" s="133">
        <f>E41</f>
        <v>266793.72747286223</v>
      </c>
      <c r="G41" s="13"/>
      <c r="H41" s="13"/>
    </row>
    <row r="42" spans="1:8" ht="15.75" x14ac:dyDescent="0.25">
      <c r="A42" s="13"/>
      <c r="B42" s="13"/>
      <c r="C42" s="13"/>
      <c r="D42" s="13"/>
      <c r="E42" s="282">
        <f>E41/12</f>
        <v>22232.810622738518</v>
      </c>
      <c r="F42" s="288">
        <f>F41/12</f>
        <v>22232.810622738518</v>
      </c>
      <c r="G42" s="13"/>
      <c r="H42" s="13"/>
    </row>
    <row r="43" spans="1:8" ht="15" x14ac:dyDescent="0.2">
      <c r="A43" s="13"/>
      <c r="B43" s="13"/>
      <c r="C43" s="13"/>
      <c r="D43" s="13"/>
      <c r="E43" s="13"/>
      <c r="F43" s="13"/>
      <c r="G43" s="13"/>
      <c r="H43" s="13"/>
    </row>
    <row r="44" spans="1:8" ht="15" x14ac:dyDescent="0.2">
      <c r="A44" s="13" t="str">
        <f>A39</f>
        <v>Encargado de matenimiento</v>
      </c>
      <c r="B44" s="13" t="str">
        <f t="shared" ref="B44:C44" si="2">B39</f>
        <v xml:space="preserve">Meses Trabajados </v>
      </c>
      <c r="C44" s="13">
        <f t="shared" si="2"/>
        <v>12</v>
      </c>
      <c r="D44" s="13">
        <f>'CONCENTRADO DE SUELDOS'!O9</f>
        <v>10286.210622738519</v>
      </c>
      <c r="E44" s="13">
        <f>C44*D44</f>
        <v>123434.52747286223</v>
      </c>
      <c r="F44" s="13"/>
      <c r="G44" s="13"/>
      <c r="H44" s="13"/>
    </row>
    <row r="45" spans="1:8" ht="15" x14ac:dyDescent="0.2">
      <c r="A45" s="13"/>
      <c r="B45" s="13"/>
      <c r="C45" s="13"/>
      <c r="D45" s="133"/>
      <c r="E45" s="133">
        <f>E41+E44</f>
        <v>390228.25494572445</v>
      </c>
      <c r="F45" s="13"/>
      <c r="G45" s="13"/>
      <c r="H45" s="13"/>
    </row>
    <row r="46" spans="1:8" ht="15" x14ac:dyDescent="0.2">
      <c r="A46" s="13"/>
      <c r="B46" s="13"/>
      <c r="C46" s="13"/>
      <c r="D46" s="13"/>
      <c r="E46" s="13"/>
      <c r="F46" s="13"/>
      <c r="G46" s="13"/>
      <c r="H46" s="13"/>
    </row>
    <row r="47" spans="1:8" ht="15" x14ac:dyDescent="0.2">
      <c r="A47" s="13"/>
      <c r="B47" s="13"/>
      <c r="C47" s="13"/>
      <c r="D47" s="13"/>
      <c r="E47" s="13"/>
      <c r="F47" s="13"/>
      <c r="G47" s="13"/>
      <c r="H47" s="13"/>
    </row>
    <row r="48" spans="1:8" ht="15" x14ac:dyDescent="0.2">
      <c r="A48" s="13"/>
      <c r="B48" s="13"/>
      <c r="C48" s="13"/>
      <c r="D48" s="13"/>
      <c r="E48" s="13"/>
      <c r="F48" s="13"/>
      <c r="G48" s="13"/>
      <c r="H48" s="13"/>
    </row>
    <row r="49" spans="1:8" ht="15" x14ac:dyDescent="0.2">
      <c r="A49" s="13"/>
      <c r="B49" s="13"/>
      <c r="C49" s="13"/>
      <c r="D49" s="13"/>
      <c r="E49" s="13"/>
      <c r="F49" s="13"/>
      <c r="G49" s="13"/>
      <c r="H49" s="13"/>
    </row>
    <row r="50" spans="1:8" ht="15" x14ac:dyDescent="0.2">
      <c r="A50" s="13"/>
      <c r="B50" s="13"/>
      <c r="C50" s="13"/>
      <c r="D50" s="13"/>
      <c r="E50" s="13"/>
      <c r="F50" s="13"/>
      <c r="G50" s="13"/>
      <c r="H50" s="13"/>
    </row>
    <row r="51" spans="1:8" ht="15" x14ac:dyDescent="0.2">
      <c r="A51" s="13"/>
      <c r="B51" s="13"/>
      <c r="C51" s="13"/>
      <c r="D51" s="13"/>
      <c r="E51" s="13"/>
      <c r="F51" s="13"/>
      <c r="G51" s="13"/>
      <c r="H51" s="13"/>
    </row>
    <row r="52" spans="1:8" ht="15" x14ac:dyDescent="0.2">
      <c r="A52" s="13"/>
      <c r="B52" s="13"/>
      <c r="C52" s="13"/>
      <c r="D52" s="13"/>
      <c r="E52" s="13"/>
      <c r="F52" s="13"/>
      <c r="G52" s="13"/>
      <c r="H52" s="13"/>
    </row>
    <row r="53" spans="1:8" ht="15" x14ac:dyDescent="0.2">
      <c r="A53" s="13"/>
      <c r="B53" s="13"/>
      <c r="C53" s="13"/>
      <c r="D53" s="13"/>
      <c r="E53" s="13"/>
      <c r="F53" s="13"/>
      <c r="G53" s="13"/>
      <c r="H53" s="13"/>
    </row>
    <row r="54" spans="1:8" ht="15" x14ac:dyDescent="0.2">
      <c r="A54" s="13"/>
      <c r="B54" s="13"/>
      <c r="C54" s="13"/>
      <c r="D54" s="13"/>
      <c r="E54" s="13"/>
      <c r="F54" s="13"/>
      <c r="G54" s="13"/>
      <c r="H54" s="13"/>
    </row>
    <row r="55" spans="1:8" ht="15" x14ac:dyDescent="0.2">
      <c r="A55" s="13"/>
      <c r="B55" s="13"/>
      <c r="C55" s="13"/>
      <c r="D55" s="13"/>
      <c r="E55" s="13"/>
      <c r="F55" s="13"/>
      <c r="G55" s="13"/>
      <c r="H55" s="13"/>
    </row>
    <row r="56" spans="1:8" ht="15" x14ac:dyDescent="0.2">
      <c r="A56" s="13"/>
      <c r="B56" s="13"/>
      <c r="C56" s="13"/>
      <c r="D56" s="13"/>
      <c r="E56" s="13"/>
      <c r="F56" s="13"/>
      <c r="G56" s="13"/>
      <c r="H56" s="13"/>
    </row>
    <row r="57" spans="1:8" ht="15" x14ac:dyDescent="0.2">
      <c r="A57" s="13"/>
      <c r="B57" s="13"/>
      <c r="C57" s="13"/>
      <c r="D57" s="13"/>
      <c r="E57" s="13"/>
      <c r="F57" s="13"/>
      <c r="G57" s="13"/>
      <c r="H57" s="13"/>
    </row>
    <row r="58" spans="1:8" ht="15" x14ac:dyDescent="0.2">
      <c r="A58" s="13"/>
      <c r="B58" s="13"/>
      <c r="C58" s="13"/>
      <c r="D58" s="13"/>
      <c r="E58" s="13"/>
      <c r="F58" s="13"/>
      <c r="G58" s="13"/>
      <c r="H58" s="13"/>
    </row>
    <row r="59" spans="1:8" ht="15" x14ac:dyDescent="0.2">
      <c r="A59" s="13"/>
      <c r="B59" s="13"/>
      <c r="C59" s="13"/>
      <c r="D59" s="13"/>
      <c r="E59" s="13"/>
      <c r="F59" s="13"/>
      <c r="G59" s="13"/>
      <c r="H59" s="13"/>
    </row>
    <row r="60" spans="1:8" ht="15" x14ac:dyDescent="0.2">
      <c r="A60" s="13"/>
      <c r="B60" s="13"/>
      <c r="C60" s="13"/>
      <c r="D60" s="13"/>
      <c r="E60" s="13"/>
      <c r="F60" s="13"/>
      <c r="G60" s="13"/>
      <c r="H60" s="13"/>
    </row>
    <row r="61" spans="1:8" ht="15" x14ac:dyDescent="0.2">
      <c r="A61" s="13"/>
      <c r="B61" s="13"/>
      <c r="C61" s="13"/>
      <c r="D61" s="13"/>
      <c r="E61" s="13"/>
      <c r="F61" s="13"/>
      <c r="G61" s="13"/>
      <c r="H61" s="13"/>
    </row>
    <row r="62" spans="1:8" ht="15" x14ac:dyDescent="0.2">
      <c r="A62" s="13"/>
      <c r="B62" s="13"/>
      <c r="C62" s="13"/>
      <c r="D62" s="13"/>
      <c r="E62" s="13"/>
      <c r="F62" s="13"/>
      <c r="G62" s="13"/>
      <c r="H62" s="13"/>
    </row>
    <row r="63" spans="1:8" ht="15" x14ac:dyDescent="0.2">
      <c r="A63" s="13"/>
      <c r="B63" s="13"/>
      <c r="C63" s="13"/>
      <c r="D63" s="13"/>
      <c r="E63" s="13"/>
      <c r="F63" s="13"/>
      <c r="G63" s="13"/>
      <c r="H63" s="13"/>
    </row>
    <row r="64" spans="1:8" ht="15" x14ac:dyDescent="0.2">
      <c r="A64" s="138"/>
      <c r="B64" s="13"/>
      <c r="C64" s="13"/>
      <c r="D64" s="13"/>
      <c r="E64" s="13"/>
      <c r="F64" s="13"/>
      <c r="G64" s="13"/>
      <c r="H64" s="13"/>
    </row>
    <row r="65" spans="1:8" ht="15" x14ac:dyDescent="0.2">
      <c r="A65" s="13"/>
      <c r="B65" s="13"/>
      <c r="C65" s="13"/>
      <c r="D65" s="13"/>
      <c r="E65" s="13"/>
      <c r="F65" s="13"/>
      <c r="G65" s="13"/>
      <c r="H65" s="13"/>
    </row>
    <row r="66" spans="1:8" ht="15" x14ac:dyDescent="0.2">
      <c r="A66" s="13"/>
      <c r="B66" s="13"/>
      <c r="C66" s="13"/>
      <c r="D66" s="13"/>
      <c r="E66" s="13"/>
      <c r="F66" s="13"/>
      <c r="G66" s="13"/>
      <c r="H66" s="13"/>
    </row>
    <row r="67" spans="1:8" ht="15" x14ac:dyDescent="0.2">
      <c r="A67" s="13"/>
      <c r="B67" s="13"/>
      <c r="C67" s="13"/>
      <c r="D67" s="13"/>
      <c r="E67" s="13"/>
      <c r="F67" s="13"/>
      <c r="G67" s="13"/>
      <c r="H67" s="13"/>
    </row>
    <row r="68" spans="1:8" ht="15" x14ac:dyDescent="0.2">
      <c r="A68" s="13"/>
      <c r="B68" s="13"/>
      <c r="C68" s="13"/>
      <c r="D68" s="13"/>
      <c r="E68" s="13"/>
      <c r="F68" s="13"/>
      <c r="G68" s="13"/>
      <c r="H68" s="13"/>
    </row>
    <row r="69" spans="1:8" ht="15" x14ac:dyDescent="0.2">
      <c r="A69" s="13"/>
      <c r="B69" s="13"/>
      <c r="C69" s="13"/>
      <c r="D69" s="13"/>
      <c r="E69" s="13"/>
      <c r="F69" s="13"/>
      <c r="G69" s="13"/>
      <c r="H69" s="13"/>
    </row>
    <row r="70" spans="1:8" ht="15" x14ac:dyDescent="0.2">
      <c r="A70" s="13"/>
      <c r="B70" s="13"/>
      <c r="C70" s="13"/>
      <c r="D70" s="13"/>
      <c r="E70" s="13"/>
      <c r="F70" s="13"/>
      <c r="G70" s="13"/>
      <c r="H70" s="13"/>
    </row>
    <row r="71" spans="1:8" ht="15" x14ac:dyDescent="0.2">
      <c r="A71" s="13"/>
      <c r="B71" s="13"/>
      <c r="C71" s="13"/>
      <c r="D71" s="13"/>
      <c r="E71" s="13"/>
      <c r="F71" s="13"/>
      <c r="G71" s="13"/>
      <c r="H71" s="13"/>
    </row>
    <row r="72" spans="1:8" ht="15" x14ac:dyDescent="0.2">
      <c r="A72" s="13"/>
      <c r="B72" s="13"/>
      <c r="C72" s="13"/>
      <c r="D72" s="13"/>
      <c r="E72" s="13"/>
      <c r="F72" s="13"/>
      <c r="G72" s="13"/>
      <c r="H72" s="13"/>
    </row>
    <row r="73" spans="1:8" ht="15" x14ac:dyDescent="0.2">
      <c r="A73" s="13"/>
      <c r="B73" s="13"/>
      <c r="C73" s="13"/>
      <c r="D73" s="13"/>
      <c r="E73" s="13"/>
      <c r="F73" s="13"/>
      <c r="G73" s="13"/>
      <c r="H73" s="13"/>
    </row>
  </sheetData>
  <mergeCells count="4">
    <mergeCell ref="A8:E8"/>
    <mergeCell ref="A24:E24"/>
    <mergeCell ref="A34:E34"/>
    <mergeCell ref="F8:J8"/>
  </mergeCells>
  <pageMargins left="0.75" right="0.75" top="1" bottom="1" header="0" footer="0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B68E-0875-4C62-9FB5-EB557AA426F4}">
  <sheetPr>
    <tabColor theme="8" tint="-0.249977111117893"/>
  </sheetPr>
  <dimension ref="A1:H30"/>
  <sheetViews>
    <sheetView topLeftCell="A10" zoomScale="73" workbookViewId="0">
      <selection activeCell="I18" sqref="I18"/>
    </sheetView>
    <sheetView zoomScale="56" zoomScaleNormal="100" workbookViewId="1">
      <selection activeCell="L17" sqref="L17"/>
    </sheetView>
  </sheetViews>
  <sheetFormatPr baseColWidth="10" defaultColWidth="11.42578125" defaultRowHeight="12.75" x14ac:dyDescent="0.2"/>
  <cols>
    <col min="1" max="1" width="31.7109375" customWidth="1"/>
    <col min="2" max="2" width="15.85546875" customWidth="1"/>
    <col min="3" max="4" width="22.7109375" customWidth="1"/>
    <col min="5" max="5" width="31.7109375" customWidth="1"/>
    <col min="6" max="6" width="35.5703125" customWidth="1"/>
    <col min="7" max="7" width="18.85546875" customWidth="1"/>
    <col min="8" max="8" width="20.28515625" customWidth="1"/>
  </cols>
  <sheetData>
    <row r="1" spans="1:8" ht="18" x14ac:dyDescent="0.25">
      <c r="A1" s="47" t="s">
        <v>211</v>
      </c>
    </row>
    <row r="3" spans="1:8" ht="15.75" x14ac:dyDescent="0.25">
      <c r="A3" s="2" t="s">
        <v>14</v>
      </c>
    </row>
    <row r="4" spans="1:8" ht="15.75" x14ac:dyDescent="0.25">
      <c r="A4" s="2" t="s">
        <v>15</v>
      </c>
    </row>
    <row r="7" spans="1:8" ht="15.75" x14ac:dyDescent="0.25">
      <c r="A7" s="581" t="s">
        <v>212</v>
      </c>
      <c r="B7" s="582" t="s">
        <v>213</v>
      </c>
      <c r="C7" s="582" t="s">
        <v>214</v>
      </c>
      <c r="D7" s="582" t="s">
        <v>215</v>
      </c>
      <c r="E7" s="582" t="s">
        <v>216</v>
      </c>
      <c r="F7" s="582" t="s">
        <v>217</v>
      </c>
      <c r="G7" s="582" t="s">
        <v>218</v>
      </c>
      <c r="H7" s="583" t="s">
        <v>219</v>
      </c>
    </row>
    <row r="8" spans="1:8" ht="15" x14ac:dyDescent="0.2">
      <c r="A8" s="3" t="s">
        <v>220</v>
      </c>
      <c r="B8" s="221">
        <v>12000</v>
      </c>
      <c r="C8" s="115" t="s">
        <v>221</v>
      </c>
      <c r="D8" s="202">
        <v>0.1</v>
      </c>
      <c r="E8" s="203">
        <f>B8*0.1</f>
        <v>1200</v>
      </c>
      <c r="F8" s="203">
        <f>E8/12</f>
        <v>100</v>
      </c>
      <c r="G8" s="221">
        <f>E8*3</f>
        <v>3600</v>
      </c>
      <c r="H8" s="273">
        <f>E8</f>
        <v>1200</v>
      </c>
    </row>
    <row r="9" spans="1:8" ht="18" customHeight="1" x14ac:dyDescent="0.2">
      <c r="A9" s="3" t="s">
        <v>222</v>
      </c>
      <c r="B9" s="221">
        <v>30000</v>
      </c>
      <c r="C9" s="115" t="s">
        <v>221</v>
      </c>
      <c r="D9" s="202">
        <v>0.1</v>
      </c>
      <c r="E9" s="203">
        <f>B9*0.1</f>
        <v>3000</v>
      </c>
      <c r="F9" s="203">
        <f>E9/12</f>
        <v>250</v>
      </c>
      <c r="G9" s="221">
        <f t="shared" ref="G9:G13" si="0">E9*3</f>
        <v>9000</v>
      </c>
      <c r="H9" s="273">
        <f t="shared" ref="H9:H17" si="1">E9</f>
        <v>3000</v>
      </c>
    </row>
    <row r="10" spans="1:8" ht="18" customHeight="1" x14ac:dyDescent="0.2">
      <c r="A10" s="3" t="s">
        <v>223</v>
      </c>
      <c r="B10" s="221">
        <v>30000</v>
      </c>
      <c r="C10" s="115" t="s">
        <v>224</v>
      </c>
      <c r="D10" s="202">
        <v>0.3</v>
      </c>
      <c r="E10" s="203">
        <f>B10*0.3</f>
        <v>9000</v>
      </c>
      <c r="F10" s="203">
        <f>E10/12</f>
        <v>750</v>
      </c>
      <c r="G10" s="221">
        <f t="shared" si="0"/>
        <v>27000</v>
      </c>
      <c r="H10" s="273">
        <f t="shared" si="1"/>
        <v>9000</v>
      </c>
    </row>
    <row r="11" spans="1:8" ht="18" customHeight="1" x14ac:dyDescent="0.2">
      <c r="A11" s="3" t="s">
        <v>225</v>
      </c>
      <c r="B11" s="221">
        <v>15000</v>
      </c>
      <c r="C11" s="115" t="s">
        <v>221</v>
      </c>
      <c r="D11" s="202">
        <v>0.1</v>
      </c>
      <c r="E11" s="203">
        <f>B11*0.1</f>
        <v>1500</v>
      </c>
      <c r="F11" s="203">
        <f t="shared" ref="F11:F17" si="2">E11/12</f>
        <v>125</v>
      </c>
      <c r="G11" s="221">
        <f t="shared" si="0"/>
        <v>4500</v>
      </c>
      <c r="H11" s="273">
        <f t="shared" si="1"/>
        <v>1500</v>
      </c>
    </row>
    <row r="12" spans="1:8" ht="15" x14ac:dyDescent="0.2">
      <c r="A12" s="3" t="s">
        <v>226</v>
      </c>
      <c r="B12" s="221">
        <v>35000</v>
      </c>
      <c r="C12" s="115" t="s">
        <v>227</v>
      </c>
      <c r="D12" s="202">
        <v>0.2</v>
      </c>
      <c r="E12" s="203">
        <f t="shared" ref="E12:E17" si="3">B12*0.2</f>
        <v>7000</v>
      </c>
      <c r="F12" s="203">
        <f t="shared" si="2"/>
        <v>583.33333333333337</v>
      </c>
      <c r="G12" s="221">
        <f t="shared" si="0"/>
        <v>21000</v>
      </c>
      <c r="H12" s="273">
        <f t="shared" si="1"/>
        <v>7000</v>
      </c>
    </row>
    <row r="13" spans="1:8" ht="18.75" customHeight="1" x14ac:dyDescent="0.2">
      <c r="A13" s="3" t="s">
        <v>228</v>
      </c>
      <c r="B13" s="221">
        <v>60000</v>
      </c>
      <c r="C13" s="115" t="s">
        <v>229</v>
      </c>
      <c r="D13" s="202">
        <v>0.2</v>
      </c>
      <c r="E13" s="203">
        <f t="shared" si="3"/>
        <v>12000</v>
      </c>
      <c r="F13" s="203">
        <f t="shared" si="2"/>
        <v>1000</v>
      </c>
      <c r="G13" s="221">
        <f t="shared" si="0"/>
        <v>36000</v>
      </c>
      <c r="H13" s="273">
        <f t="shared" si="1"/>
        <v>12000</v>
      </c>
    </row>
    <row r="14" spans="1:8" ht="15" x14ac:dyDescent="0.2">
      <c r="A14" s="272" t="s">
        <v>230</v>
      </c>
      <c r="B14" s="221">
        <v>9000</v>
      </c>
      <c r="C14" s="115" t="s">
        <v>229</v>
      </c>
      <c r="D14" s="202">
        <v>0.2</v>
      </c>
      <c r="E14" s="203">
        <f t="shared" si="3"/>
        <v>1800</v>
      </c>
      <c r="F14" s="203">
        <f t="shared" si="2"/>
        <v>150</v>
      </c>
      <c r="G14" s="221">
        <f>E14*3</f>
        <v>5400</v>
      </c>
      <c r="H14" s="273">
        <f t="shared" si="1"/>
        <v>1800</v>
      </c>
    </row>
    <row r="15" spans="1:8" ht="18" customHeight="1" x14ac:dyDescent="0.2">
      <c r="A15" s="3" t="s">
        <v>231</v>
      </c>
      <c r="B15" s="270">
        <v>3000</v>
      </c>
      <c r="C15" s="115" t="s">
        <v>232</v>
      </c>
      <c r="D15" s="202">
        <v>0.2</v>
      </c>
      <c r="E15" s="203">
        <f t="shared" si="3"/>
        <v>600</v>
      </c>
      <c r="F15" s="203">
        <f t="shared" si="2"/>
        <v>50</v>
      </c>
      <c r="G15" s="221">
        <f>E15*2</f>
        <v>1200</v>
      </c>
      <c r="H15" s="273">
        <f t="shared" si="1"/>
        <v>600</v>
      </c>
    </row>
    <row r="16" spans="1:8" ht="15.75" customHeight="1" x14ac:dyDescent="0.2">
      <c r="A16" s="3" t="s">
        <v>233</v>
      </c>
      <c r="B16" s="221">
        <v>3500</v>
      </c>
      <c r="C16" s="115" t="s">
        <v>234</v>
      </c>
      <c r="D16" s="202">
        <v>0.2</v>
      </c>
      <c r="E16" s="203">
        <f t="shared" si="3"/>
        <v>700</v>
      </c>
      <c r="F16" s="203">
        <f t="shared" si="2"/>
        <v>58.333333333333336</v>
      </c>
      <c r="G16" s="221">
        <f>E16*2</f>
        <v>1400</v>
      </c>
      <c r="H16" s="273">
        <f t="shared" si="1"/>
        <v>700</v>
      </c>
    </row>
    <row r="17" spans="1:8" ht="15.75" customHeight="1" x14ac:dyDescent="0.2">
      <c r="A17" s="3" t="s">
        <v>235</v>
      </c>
      <c r="B17" s="221">
        <v>2500</v>
      </c>
      <c r="C17" s="115" t="s">
        <v>234</v>
      </c>
      <c r="D17" s="202">
        <v>0.2</v>
      </c>
      <c r="E17" s="203">
        <f t="shared" si="3"/>
        <v>500</v>
      </c>
      <c r="F17" s="203">
        <f t="shared" si="2"/>
        <v>41.666666666666664</v>
      </c>
      <c r="G17" s="221">
        <f>E17*2</f>
        <v>1000</v>
      </c>
      <c r="H17" s="273">
        <f t="shared" si="1"/>
        <v>500</v>
      </c>
    </row>
    <row r="18" spans="1:8" ht="15" x14ac:dyDescent="0.2">
      <c r="A18" s="116" t="s">
        <v>236</v>
      </c>
      <c r="B18" s="93">
        <f>SUM(B8:B17)</f>
        <v>200000</v>
      </c>
      <c r="C18" s="117"/>
      <c r="D18" s="117"/>
      <c r="E18" s="281">
        <f>SUM(E8:E17)</f>
        <v>37300</v>
      </c>
      <c r="F18" s="281">
        <f>SUM(F8:F17)</f>
        <v>3108.3333333333335</v>
      </c>
      <c r="H18" s="211">
        <f>SUM(H8:H17)</f>
        <v>37300</v>
      </c>
    </row>
    <row r="19" spans="1:8" ht="15" x14ac:dyDescent="0.2">
      <c r="A19" s="13"/>
      <c r="B19" s="97"/>
      <c r="C19" s="117"/>
      <c r="D19" s="117"/>
      <c r="E19" s="117"/>
      <c r="F19" s="117"/>
    </row>
    <row r="20" spans="1:8" ht="15" x14ac:dyDescent="0.2">
      <c r="A20" s="13"/>
      <c r="B20" s="97"/>
      <c r="C20" s="117"/>
      <c r="D20" s="117"/>
      <c r="E20" s="117"/>
      <c r="F20" s="117"/>
    </row>
    <row r="21" spans="1:8" ht="15.75" x14ac:dyDescent="0.25">
      <c r="A21" s="581" t="s">
        <v>237</v>
      </c>
      <c r="B21" s="582" t="s">
        <v>213</v>
      </c>
      <c r="C21" s="582" t="s">
        <v>214</v>
      </c>
      <c r="D21" s="582" t="s">
        <v>215</v>
      </c>
      <c r="E21" s="582" t="s">
        <v>216</v>
      </c>
      <c r="F21" s="582" t="s">
        <v>217</v>
      </c>
      <c r="G21" s="582" t="s">
        <v>218</v>
      </c>
      <c r="H21" s="583" t="s">
        <v>219</v>
      </c>
    </row>
    <row r="22" spans="1:8" ht="30" x14ac:dyDescent="0.2">
      <c r="A22" s="199" t="s">
        <v>48</v>
      </c>
      <c r="B22" s="401">
        <v>50000</v>
      </c>
      <c r="C22" s="115">
        <v>10</v>
      </c>
      <c r="D22" s="202">
        <v>0.1</v>
      </c>
      <c r="E22" s="203">
        <f>B22*D22</f>
        <v>5000</v>
      </c>
      <c r="F22" s="203">
        <f>E22/12</f>
        <v>416.66666666666669</v>
      </c>
      <c r="G22" s="221">
        <f>E22*9</f>
        <v>45000</v>
      </c>
      <c r="H22" s="273">
        <f>B22-G22</f>
        <v>5000</v>
      </c>
    </row>
    <row r="23" spans="1:8" ht="30" x14ac:dyDescent="0.2">
      <c r="A23" s="199" t="s">
        <v>238</v>
      </c>
      <c r="B23" s="401">
        <v>169000</v>
      </c>
      <c r="C23" s="115">
        <v>10</v>
      </c>
      <c r="D23" s="202">
        <v>0.1</v>
      </c>
      <c r="E23" s="203">
        <f t="shared" ref="E23:E29" si="4">B23*D23</f>
        <v>16900</v>
      </c>
      <c r="F23" s="203">
        <f t="shared" ref="F23:F29" si="5">E23/12</f>
        <v>1408.3333333333333</v>
      </c>
      <c r="G23" s="221">
        <f t="shared" ref="G23:G29" si="6">E23*9</f>
        <v>152100</v>
      </c>
      <c r="H23" s="273">
        <f t="shared" ref="H23:H29" si="7">B23-G23</f>
        <v>16900</v>
      </c>
    </row>
    <row r="24" spans="1:8" ht="30" x14ac:dyDescent="0.2">
      <c r="A24" s="199" t="s">
        <v>239</v>
      </c>
      <c r="B24" s="401">
        <v>220000</v>
      </c>
      <c r="C24" s="115">
        <v>10</v>
      </c>
      <c r="D24" s="202">
        <v>0.1</v>
      </c>
      <c r="E24" s="203">
        <f t="shared" si="4"/>
        <v>22000</v>
      </c>
      <c r="F24" s="203">
        <f t="shared" si="5"/>
        <v>1833.3333333333333</v>
      </c>
      <c r="G24" s="221">
        <f t="shared" si="6"/>
        <v>198000</v>
      </c>
      <c r="H24" s="273">
        <f t="shared" si="7"/>
        <v>22000</v>
      </c>
    </row>
    <row r="25" spans="1:8" ht="30" x14ac:dyDescent="0.2">
      <c r="A25" s="199" t="s">
        <v>240</v>
      </c>
      <c r="B25" s="401">
        <v>50000</v>
      </c>
      <c r="C25" s="115">
        <v>10</v>
      </c>
      <c r="D25" s="202">
        <v>0.1</v>
      </c>
      <c r="E25" s="203">
        <f t="shared" si="4"/>
        <v>5000</v>
      </c>
      <c r="F25" s="203">
        <f t="shared" si="5"/>
        <v>416.66666666666669</v>
      </c>
      <c r="G25" s="221">
        <f t="shared" si="6"/>
        <v>45000</v>
      </c>
      <c r="H25" s="273">
        <f t="shared" si="7"/>
        <v>5000</v>
      </c>
    </row>
    <row r="26" spans="1:8" ht="30" x14ac:dyDescent="0.2">
      <c r="A26" s="199" t="s">
        <v>241</v>
      </c>
      <c r="B26" s="401">
        <v>125000</v>
      </c>
      <c r="C26" s="115">
        <v>10</v>
      </c>
      <c r="D26" s="202">
        <v>0.1</v>
      </c>
      <c r="E26" s="203">
        <f t="shared" si="4"/>
        <v>12500</v>
      </c>
      <c r="F26" s="203">
        <f t="shared" si="5"/>
        <v>1041.6666666666667</v>
      </c>
      <c r="G26" s="221">
        <f t="shared" si="6"/>
        <v>112500</v>
      </c>
      <c r="H26" s="273">
        <f t="shared" si="7"/>
        <v>12500</v>
      </c>
    </row>
    <row r="27" spans="1:8" ht="30" x14ac:dyDescent="0.2">
      <c r="A27" s="199" t="s">
        <v>242</v>
      </c>
      <c r="B27" s="401">
        <v>95000</v>
      </c>
      <c r="C27" s="115">
        <v>10</v>
      </c>
      <c r="D27" s="202">
        <v>0.1</v>
      </c>
      <c r="E27" s="203">
        <f t="shared" si="4"/>
        <v>9500</v>
      </c>
      <c r="F27" s="203">
        <f t="shared" si="5"/>
        <v>791.66666666666663</v>
      </c>
      <c r="G27" s="221">
        <f t="shared" si="6"/>
        <v>85500</v>
      </c>
      <c r="H27" s="273">
        <f t="shared" si="7"/>
        <v>9500</v>
      </c>
    </row>
    <row r="28" spans="1:8" ht="15" x14ac:dyDescent="0.2">
      <c r="A28" s="3" t="s">
        <v>55</v>
      </c>
      <c r="B28" s="401">
        <v>30000</v>
      </c>
      <c r="C28" s="115">
        <v>10</v>
      </c>
      <c r="D28" s="202">
        <v>0.1</v>
      </c>
      <c r="E28" s="203">
        <f t="shared" si="4"/>
        <v>3000</v>
      </c>
      <c r="F28" s="203">
        <f t="shared" si="5"/>
        <v>250</v>
      </c>
      <c r="G28" s="221">
        <f t="shared" si="6"/>
        <v>27000</v>
      </c>
      <c r="H28" s="273">
        <f t="shared" si="7"/>
        <v>3000</v>
      </c>
    </row>
    <row r="29" spans="1:8" ht="30" x14ac:dyDescent="0.2">
      <c r="A29" s="199" t="s">
        <v>56</v>
      </c>
      <c r="B29" s="401">
        <v>20000</v>
      </c>
      <c r="C29" s="115">
        <v>10</v>
      </c>
      <c r="D29" s="202">
        <v>0.1</v>
      </c>
      <c r="E29" s="203">
        <f t="shared" si="4"/>
        <v>2000</v>
      </c>
      <c r="F29" s="203">
        <f t="shared" si="5"/>
        <v>166.66666666666666</v>
      </c>
      <c r="G29" s="221">
        <f t="shared" si="6"/>
        <v>18000</v>
      </c>
      <c r="H29" s="273">
        <f t="shared" si="7"/>
        <v>2000</v>
      </c>
    </row>
    <row r="30" spans="1:8" x14ac:dyDescent="0.2">
      <c r="B30" s="211">
        <f>SUM(B22:B29)</f>
        <v>759000</v>
      </c>
      <c r="H30" s="211">
        <f>SUM(H22:H29)</f>
        <v>75900</v>
      </c>
    </row>
  </sheetData>
  <pageMargins left="0.75" right="0.75" top="1" bottom="1" header="0" footer="0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281A-81A9-4B84-A7BE-BDAF5A12CE92}">
  <dimension ref="A1:M81"/>
  <sheetViews>
    <sheetView topLeftCell="A10" workbookViewId="0">
      <selection activeCell="F9" sqref="F9"/>
    </sheetView>
    <sheetView zoomScale="92" zoomScaleNormal="100" workbookViewId="1">
      <selection activeCell="I8" sqref="I8:I59"/>
    </sheetView>
  </sheetViews>
  <sheetFormatPr baseColWidth="10" defaultColWidth="11.42578125" defaultRowHeight="12.75" x14ac:dyDescent="0.2"/>
  <cols>
    <col min="3" max="3" width="12.85546875" customWidth="1"/>
    <col min="4" max="5" width="14.5703125" customWidth="1"/>
    <col min="6" max="6" width="19.7109375" customWidth="1"/>
    <col min="7" max="7" width="14.42578125" customWidth="1"/>
    <col min="8" max="8" width="13.28515625" bestFit="1" customWidth="1"/>
    <col min="9" max="9" width="14.28515625" customWidth="1"/>
  </cols>
  <sheetData>
    <row r="1" spans="1:11" ht="18" x14ac:dyDescent="0.25">
      <c r="A1" s="1" t="s">
        <v>243</v>
      </c>
    </row>
    <row r="3" spans="1:11" ht="15.75" x14ac:dyDescent="0.25">
      <c r="A3" s="2" t="s">
        <v>65</v>
      </c>
      <c r="B3" s="2"/>
      <c r="C3" s="2"/>
      <c r="D3" s="2"/>
      <c r="E3" s="2"/>
      <c r="F3" s="13"/>
      <c r="G3" s="13"/>
      <c r="H3" s="13"/>
      <c r="I3" s="13"/>
    </row>
    <row r="4" spans="1:11" ht="15.75" x14ac:dyDescent="0.25">
      <c r="A4" s="2" t="s">
        <v>66</v>
      </c>
      <c r="B4" s="2"/>
      <c r="C4" s="2"/>
      <c r="D4" s="2"/>
      <c r="E4" s="2"/>
      <c r="F4" s="13"/>
      <c r="G4" s="13"/>
      <c r="H4" s="13"/>
      <c r="I4" s="13"/>
    </row>
    <row r="5" spans="1:11" ht="15.75" x14ac:dyDescent="0.25">
      <c r="A5" s="2" t="s">
        <v>67</v>
      </c>
      <c r="B5" s="2"/>
      <c r="C5" s="368"/>
      <c r="D5" s="368"/>
      <c r="E5" s="2"/>
      <c r="F5" s="13"/>
      <c r="G5" s="13"/>
      <c r="H5" s="13"/>
      <c r="I5" s="13"/>
    </row>
    <row r="6" spans="1:11" ht="15.75" x14ac:dyDescent="0.25">
      <c r="A6" s="426" t="s">
        <v>244</v>
      </c>
      <c r="B6" s="426"/>
      <c r="C6" s="426"/>
      <c r="D6" s="426"/>
      <c r="E6" s="426"/>
      <c r="F6" s="426"/>
      <c r="G6" s="426"/>
      <c r="H6" s="426"/>
      <c r="I6" s="426"/>
    </row>
    <row r="7" spans="1:11" x14ac:dyDescent="0.2">
      <c r="A7" s="340"/>
      <c r="B7" s="340"/>
      <c r="C7" s="340"/>
      <c r="D7" s="340"/>
      <c r="E7" s="340"/>
      <c r="F7" s="340"/>
      <c r="G7" s="340"/>
      <c r="H7" s="104">
        <v>799000</v>
      </c>
      <c r="I7" s="340"/>
    </row>
    <row r="8" spans="1:11" ht="25.5" x14ac:dyDescent="0.2">
      <c r="A8" s="575" t="s">
        <v>150</v>
      </c>
      <c r="B8" s="575" t="s">
        <v>245</v>
      </c>
      <c r="C8" s="575" t="s">
        <v>246</v>
      </c>
      <c r="D8" s="575" t="s">
        <v>247</v>
      </c>
      <c r="E8" s="576" t="s">
        <v>248</v>
      </c>
      <c r="F8" s="576" t="s">
        <v>249</v>
      </c>
      <c r="G8" s="576" t="s">
        <v>250</v>
      </c>
      <c r="H8" s="576" t="s">
        <v>251</v>
      </c>
      <c r="I8" s="577" t="s">
        <v>252</v>
      </c>
    </row>
    <row r="9" spans="1:11" x14ac:dyDescent="0.2">
      <c r="A9" s="102">
        <v>1</v>
      </c>
      <c r="B9" s="341">
        <v>1.89E-2</v>
      </c>
      <c r="C9" s="104">
        <f>H7*B$9</f>
        <v>15101.1</v>
      </c>
      <c r="D9" s="277">
        <f>H7+C9</f>
        <v>814101.1</v>
      </c>
      <c r="E9" s="104">
        <v>16645.830000000002</v>
      </c>
      <c r="F9" s="104">
        <f>C9</f>
        <v>15101.1</v>
      </c>
      <c r="G9" s="277">
        <f>E9+F9</f>
        <v>31746.93</v>
      </c>
      <c r="H9" s="110">
        <f>D9-G9</f>
        <v>782354.16999999993</v>
      </c>
      <c r="I9" s="578">
        <f>DATE(2025,11,10)</f>
        <v>45971</v>
      </c>
      <c r="K9" s="110"/>
    </row>
    <row r="10" spans="1:11" x14ac:dyDescent="0.2">
      <c r="A10" s="102">
        <v>2</v>
      </c>
      <c r="B10" s="341">
        <v>1.89E-2</v>
      </c>
      <c r="C10" s="104">
        <f>H9*B$9</f>
        <v>14786.493812999999</v>
      </c>
      <c r="D10" s="277">
        <f>H9+C10</f>
        <v>797140.66381299996</v>
      </c>
      <c r="E10" s="104">
        <f>E$9</f>
        <v>16645.830000000002</v>
      </c>
      <c r="F10" s="104">
        <f t="shared" ref="F10:F56" si="0">C10</f>
        <v>14786.493812999999</v>
      </c>
      <c r="G10" s="277">
        <f t="shared" ref="G10:G56" si="1">E10+F10</f>
        <v>31432.323813000003</v>
      </c>
      <c r="H10" s="110">
        <f t="shared" ref="H10:H56" si="2">D10-G10</f>
        <v>765708.34</v>
      </c>
      <c r="I10" s="579">
        <f t="shared" ref="I10:I43" si="3">EDATE(I9,1)</f>
        <v>46001</v>
      </c>
    </row>
    <row r="11" spans="1:11" x14ac:dyDescent="0.2">
      <c r="A11" s="102">
        <v>3</v>
      </c>
      <c r="B11" s="341">
        <v>1.89E-2</v>
      </c>
      <c r="C11" s="104">
        <f t="shared" ref="C11:C56" si="4">H10*B$9</f>
        <v>14471.887626</v>
      </c>
      <c r="D11" s="277">
        <f>H10+C11</f>
        <v>780180.22762599995</v>
      </c>
      <c r="E11" s="104">
        <f t="shared" ref="E11:E56" si="5">E$9</f>
        <v>16645.830000000002</v>
      </c>
      <c r="F11" s="104">
        <f t="shared" si="0"/>
        <v>14471.887626</v>
      </c>
      <c r="G11" s="277">
        <f t="shared" si="1"/>
        <v>31117.717626000001</v>
      </c>
      <c r="H11" s="110">
        <f t="shared" si="2"/>
        <v>749062.50999999989</v>
      </c>
      <c r="I11" s="578">
        <f t="shared" si="3"/>
        <v>46032</v>
      </c>
    </row>
    <row r="12" spans="1:11" x14ac:dyDescent="0.2">
      <c r="A12" s="102">
        <v>4</v>
      </c>
      <c r="B12" s="341">
        <v>1.89E-2</v>
      </c>
      <c r="C12" s="104">
        <f t="shared" si="4"/>
        <v>14157.281438999998</v>
      </c>
      <c r="D12" s="277">
        <f t="shared" ref="D12:D56" si="6">H11+C12</f>
        <v>763219.79143899994</v>
      </c>
      <c r="E12" s="104">
        <f t="shared" si="5"/>
        <v>16645.830000000002</v>
      </c>
      <c r="F12" s="104">
        <f t="shared" si="0"/>
        <v>14157.281438999998</v>
      </c>
      <c r="G12" s="277">
        <f t="shared" si="1"/>
        <v>30803.111439</v>
      </c>
      <c r="H12" s="110">
        <f t="shared" si="2"/>
        <v>732416.67999999993</v>
      </c>
      <c r="I12" s="578">
        <f t="shared" si="3"/>
        <v>46063</v>
      </c>
      <c r="K12" s="280"/>
    </row>
    <row r="13" spans="1:11" x14ac:dyDescent="0.2">
      <c r="A13" s="102">
        <v>5</v>
      </c>
      <c r="B13" s="341">
        <v>1.89E-2</v>
      </c>
      <c r="C13" s="104">
        <f t="shared" si="4"/>
        <v>13842.675251999999</v>
      </c>
      <c r="D13" s="277">
        <f t="shared" si="6"/>
        <v>746259.35525199992</v>
      </c>
      <c r="E13" s="104">
        <f t="shared" si="5"/>
        <v>16645.830000000002</v>
      </c>
      <c r="F13" s="104">
        <f t="shared" si="0"/>
        <v>13842.675251999999</v>
      </c>
      <c r="G13" s="277">
        <f t="shared" si="1"/>
        <v>30488.505252000003</v>
      </c>
      <c r="H13" s="110">
        <f t="shared" si="2"/>
        <v>715770.84999999986</v>
      </c>
      <c r="I13" s="578">
        <f t="shared" si="3"/>
        <v>46091</v>
      </c>
    </row>
    <row r="14" spans="1:11" x14ac:dyDescent="0.2">
      <c r="A14" s="102">
        <v>6</v>
      </c>
      <c r="B14" s="341">
        <v>1.89E-2</v>
      </c>
      <c r="C14" s="104">
        <f t="shared" si="4"/>
        <v>13528.069064999998</v>
      </c>
      <c r="D14" s="277">
        <f t="shared" si="6"/>
        <v>729298.91906499991</v>
      </c>
      <c r="E14" s="104">
        <f t="shared" si="5"/>
        <v>16645.830000000002</v>
      </c>
      <c r="F14" s="104">
        <f t="shared" si="0"/>
        <v>13528.069064999998</v>
      </c>
      <c r="G14" s="277">
        <f t="shared" si="1"/>
        <v>30173.899064999998</v>
      </c>
      <c r="H14" s="110">
        <f t="shared" si="2"/>
        <v>699125.0199999999</v>
      </c>
      <c r="I14" s="578">
        <f t="shared" si="3"/>
        <v>46122</v>
      </c>
    </row>
    <row r="15" spans="1:11" x14ac:dyDescent="0.2">
      <c r="A15" s="102">
        <v>7</v>
      </c>
      <c r="B15" s="341">
        <v>1.89E-2</v>
      </c>
      <c r="C15" s="104">
        <f t="shared" si="4"/>
        <v>13213.462877999998</v>
      </c>
      <c r="D15" s="277">
        <f t="shared" si="6"/>
        <v>712338.48287799989</v>
      </c>
      <c r="E15" s="104">
        <f t="shared" si="5"/>
        <v>16645.830000000002</v>
      </c>
      <c r="F15" s="104">
        <f t="shared" si="0"/>
        <v>13213.462877999998</v>
      </c>
      <c r="G15" s="277">
        <f t="shared" si="1"/>
        <v>29859.292878</v>
      </c>
      <c r="H15" s="110">
        <f t="shared" si="2"/>
        <v>682479.19</v>
      </c>
      <c r="I15" s="578">
        <f t="shared" si="3"/>
        <v>46152</v>
      </c>
    </row>
    <row r="16" spans="1:11" x14ac:dyDescent="0.2">
      <c r="A16" s="102">
        <v>8</v>
      </c>
      <c r="B16" s="341">
        <v>1.89E-2</v>
      </c>
      <c r="C16" s="104">
        <f t="shared" si="4"/>
        <v>12898.856690999999</v>
      </c>
      <c r="D16" s="277">
        <f t="shared" si="6"/>
        <v>695378.046691</v>
      </c>
      <c r="E16" s="104">
        <f t="shared" si="5"/>
        <v>16645.830000000002</v>
      </c>
      <c r="F16" s="104">
        <f t="shared" si="0"/>
        <v>12898.856690999999</v>
      </c>
      <c r="G16" s="277">
        <f t="shared" si="1"/>
        <v>29544.686691000003</v>
      </c>
      <c r="H16" s="110">
        <f t="shared" si="2"/>
        <v>665833.36</v>
      </c>
      <c r="I16" s="578">
        <f t="shared" si="3"/>
        <v>46183</v>
      </c>
    </row>
    <row r="17" spans="1:9" x14ac:dyDescent="0.2">
      <c r="A17" s="102">
        <v>9</v>
      </c>
      <c r="B17" s="341">
        <v>1.89E-2</v>
      </c>
      <c r="C17" s="104">
        <f t="shared" si="4"/>
        <v>12584.250504</v>
      </c>
      <c r="D17" s="277">
        <f t="shared" si="6"/>
        <v>678417.61050399998</v>
      </c>
      <c r="E17" s="104">
        <f t="shared" si="5"/>
        <v>16645.830000000002</v>
      </c>
      <c r="F17" s="104">
        <f t="shared" si="0"/>
        <v>12584.250504</v>
      </c>
      <c r="G17" s="277">
        <f t="shared" si="1"/>
        <v>29230.080504000001</v>
      </c>
      <c r="H17" s="110">
        <f t="shared" si="2"/>
        <v>649187.53</v>
      </c>
      <c r="I17" s="578">
        <f t="shared" si="3"/>
        <v>46213</v>
      </c>
    </row>
    <row r="18" spans="1:9" x14ac:dyDescent="0.2">
      <c r="A18" s="102">
        <v>10</v>
      </c>
      <c r="B18" s="341">
        <v>1.89E-2</v>
      </c>
      <c r="C18" s="104">
        <f t="shared" si="4"/>
        <v>12269.644317</v>
      </c>
      <c r="D18" s="277">
        <f t="shared" si="6"/>
        <v>661457.17431700008</v>
      </c>
      <c r="E18" s="104">
        <f t="shared" si="5"/>
        <v>16645.830000000002</v>
      </c>
      <c r="F18" s="104">
        <f t="shared" si="0"/>
        <v>12269.644317</v>
      </c>
      <c r="G18" s="277">
        <f t="shared" si="1"/>
        <v>28915.474317</v>
      </c>
      <c r="H18" s="110">
        <f t="shared" si="2"/>
        <v>632541.70000000007</v>
      </c>
      <c r="I18" s="578">
        <f t="shared" si="3"/>
        <v>46244</v>
      </c>
    </row>
    <row r="19" spans="1:9" x14ac:dyDescent="0.2">
      <c r="A19" s="102">
        <v>11</v>
      </c>
      <c r="B19" s="341">
        <v>1.89E-2</v>
      </c>
      <c r="C19" s="104">
        <f t="shared" si="4"/>
        <v>11955.038130000001</v>
      </c>
      <c r="D19" s="277">
        <f t="shared" si="6"/>
        <v>644496.73813000007</v>
      </c>
      <c r="E19" s="104">
        <f t="shared" si="5"/>
        <v>16645.830000000002</v>
      </c>
      <c r="F19" s="104">
        <f t="shared" si="0"/>
        <v>11955.038130000001</v>
      </c>
      <c r="G19" s="277">
        <f t="shared" si="1"/>
        <v>28600.868130000003</v>
      </c>
      <c r="H19" s="110">
        <f t="shared" si="2"/>
        <v>615895.87000000011</v>
      </c>
      <c r="I19" s="578">
        <f t="shared" si="3"/>
        <v>46275</v>
      </c>
    </row>
    <row r="20" spans="1:9" x14ac:dyDescent="0.2">
      <c r="A20" s="102">
        <v>12</v>
      </c>
      <c r="B20" s="341">
        <v>1.89E-2</v>
      </c>
      <c r="C20" s="104">
        <f t="shared" si="4"/>
        <v>11640.431943000001</v>
      </c>
      <c r="D20" s="277">
        <f t="shared" si="6"/>
        <v>627536.30194300006</v>
      </c>
      <c r="E20" s="104">
        <f t="shared" si="5"/>
        <v>16645.830000000002</v>
      </c>
      <c r="F20" s="104">
        <f t="shared" si="0"/>
        <v>11640.431943000001</v>
      </c>
      <c r="G20" s="277">
        <f t="shared" si="1"/>
        <v>28286.261943000005</v>
      </c>
      <c r="H20" s="110">
        <f t="shared" si="2"/>
        <v>599250.04</v>
      </c>
      <c r="I20" s="578">
        <f t="shared" si="3"/>
        <v>46305</v>
      </c>
    </row>
    <row r="21" spans="1:9" x14ac:dyDescent="0.2">
      <c r="A21" s="102">
        <v>13</v>
      </c>
      <c r="B21" s="341">
        <v>1.89E-2</v>
      </c>
      <c r="C21" s="104">
        <f t="shared" si="4"/>
        <v>11325.825756</v>
      </c>
      <c r="D21" s="277">
        <f t="shared" si="6"/>
        <v>610575.86575600004</v>
      </c>
      <c r="E21" s="104">
        <f t="shared" si="5"/>
        <v>16645.830000000002</v>
      </c>
      <c r="F21" s="104">
        <f t="shared" si="0"/>
        <v>11325.825756</v>
      </c>
      <c r="G21" s="277">
        <f t="shared" si="1"/>
        <v>27971.655756</v>
      </c>
      <c r="H21" s="110">
        <f t="shared" si="2"/>
        <v>582604.21000000008</v>
      </c>
      <c r="I21" s="578">
        <f t="shared" si="3"/>
        <v>46336</v>
      </c>
    </row>
    <row r="22" spans="1:9" x14ac:dyDescent="0.2">
      <c r="A22" s="102">
        <v>14</v>
      </c>
      <c r="B22" s="341">
        <v>1.89E-2</v>
      </c>
      <c r="C22" s="104">
        <f t="shared" si="4"/>
        <v>11011.219569000001</v>
      </c>
      <c r="D22" s="277">
        <f t="shared" si="6"/>
        <v>593615.42956900003</v>
      </c>
      <c r="E22" s="104">
        <f t="shared" si="5"/>
        <v>16645.830000000002</v>
      </c>
      <c r="F22" s="104">
        <f t="shared" si="0"/>
        <v>11011.219569000001</v>
      </c>
      <c r="G22" s="277">
        <f t="shared" si="1"/>
        <v>27657.049569000003</v>
      </c>
      <c r="H22" s="110">
        <f t="shared" si="2"/>
        <v>565958.38</v>
      </c>
      <c r="I22" s="578">
        <f t="shared" si="3"/>
        <v>46366</v>
      </c>
    </row>
    <row r="23" spans="1:9" x14ac:dyDescent="0.2">
      <c r="A23" s="102">
        <v>15</v>
      </c>
      <c r="B23" s="341">
        <v>1.89E-2</v>
      </c>
      <c r="C23" s="104">
        <f t="shared" si="4"/>
        <v>10696.613382</v>
      </c>
      <c r="D23" s="277">
        <f t="shared" si="6"/>
        <v>576654.99338200002</v>
      </c>
      <c r="E23" s="104">
        <f t="shared" si="5"/>
        <v>16645.830000000002</v>
      </c>
      <c r="F23" s="104">
        <f t="shared" si="0"/>
        <v>10696.613382</v>
      </c>
      <c r="G23" s="277">
        <f t="shared" si="1"/>
        <v>27342.443382000001</v>
      </c>
      <c r="H23" s="110">
        <f t="shared" si="2"/>
        <v>549312.55000000005</v>
      </c>
      <c r="I23" s="578">
        <f t="shared" si="3"/>
        <v>46397</v>
      </c>
    </row>
    <row r="24" spans="1:9" x14ac:dyDescent="0.2">
      <c r="A24" s="102">
        <v>16</v>
      </c>
      <c r="B24" s="341">
        <v>1.89E-2</v>
      </c>
      <c r="C24" s="104">
        <f t="shared" si="4"/>
        <v>10382.007195</v>
      </c>
      <c r="D24" s="277">
        <f t="shared" si="6"/>
        <v>559694.557195</v>
      </c>
      <c r="E24" s="104">
        <f t="shared" si="5"/>
        <v>16645.830000000002</v>
      </c>
      <c r="F24" s="104">
        <f t="shared" si="0"/>
        <v>10382.007195</v>
      </c>
      <c r="G24" s="277">
        <f t="shared" si="1"/>
        <v>27027.837195</v>
      </c>
      <c r="H24" s="110">
        <f t="shared" si="2"/>
        <v>532666.72</v>
      </c>
      <c r="I24" s="578">
        <f t="shared" si="3"/>
        <v>46428</v>
      </c>
    </row>
    <row r="25" spans="1:9" x14ac:dyDescent="0.2">
      <c r="A25" s="102">
        <v>17</v>
      </c>
      <c r="B25" s="341">
        <v>1.89E-2</v>
      </c>
      <c r="C25" s="104">
        <f t="shared" si="4"/>
        <v>10067.401007999999</v>
      </c>
      <c r="D25" s="277">
        <f t="shared" si="6"/>
        <v>542734.12100799999</v>
      </c>
      <c r="E25" s="104">
        <f t="shared" si="5"/>
        <v>16645.830000000002</v>
      </c>
      <c r="F25" s="104">
        <f t="shared" si="0"/>
        <v>10067.401007999999</v>
      </c>
      <c r="G25" s="277">
        <f t="shared" si="1"/>
        <v>26713.231008000002</v>
      </c>
      <c r="H25" s="110">
        <f t="shared" si="2"/>
        <v>516020.89</v>
      </c>
      <c r="I25" s="578">
        <f t="shared" si="3"/>
        <v>46456</v>
      </c>
    </row>
    <row r="26" spans="1:9" x14ac:dyDescent="0.2">
      <c r="A26" s="102">
        <v>18</v>
      </c>
      <c r="B26" s="341">
        <v>1.89E-2</v>
      </c>
      <c r="C26" s="104">
        <f t="shared" si="4"/>
        <v>9752.7948209999995</v>
      </c>
      <c r="D26" s="277">
        <f t="shared" si="6"/>
        <v>525773.68482099997</v>
      </c>
      <c r="E26" s="104">
        <f t="shared" si="5"/>
        <v>16645.830000000002</v>
      </c>
      <c r="F26" s="104">
        <f t="shared" si="0"/>
        <v>9752.7948209999995</v>
      </c>
      <c r="G26" s="277">
        <f t="shared" si="1"/>
        <v>26398.624821000001</v>
      </c>
      <c r="H26" s="110">
        <f t="shared" si="2"/>
        <v>499375.06</v>
      </c>
      <c r="I26" s="578">
        <f t="shared" si="3"/>
        <v>46487</v>
      </c>
    </row>
    <row r="27" spans="1:9" x14ac:dyDescent="0.2">
      <c r="A27" s="102">
        <v>19</v>
      </c>
      <c r="B27" s="341">
        <v>1.89E-2</v>
      </c>
      <c r="C27" s="104">
        <f t="shared" si="4"/>
        <v>9438.1886340000001</v>
      </c>
      <c r="D27" s="277">
        <f t="shared" si="6"/>
        <v>508813.24863400002</v>
      </c>
      <c r="E27" s="104">
        <f t="shared" si="5"/>
        <v>16645.830000000002</v>
      </c>
      <c r="F27" s="104">
        <f t="shared" si="0"/>
        <v>9438.1886340000001</v>
      </c>
      <c r="G27" s="277">
        <f t="shared" si="1"/>
        <v>26084.018634</v>
      </c>
      <c r="H27" s="110">
        <f t="shared" si="2"/>
        <v>482729.23000000004</v>
      </c>
      <c r="I27" s="578">
        <f t="shared" si="3"/>
        <v>46517</v>
      </c>
    </row>
    <row r="28" spans="1:9" x14ac:dyDescent="0.2">
      <c r="A28" s="102">
        <v>20</v>
      </c>
      <c r="B28" s="341">
        <v>1.89E-2</v>
      </c>
      <c r="C28" s="104">
        <f t="shared" si="4"/>
        <v>9123.5824470000007</v>
      </c>
      <c r="D28" s="277">
        <f t="shared" si="6"/>
        <v>491852.81244700006</v>
      </c>
      <c r="E28" s="104">
        <f t="shared" si="5"/>
        <v>16645.830000000002</v>
      </c>
      <c r="F28" s="104">
        <f t="shared" si="0"/>
        <v>9123.5824470000007</v>
      </c>
      <c r="G28" s="277">
        <f t="shared" si="1"/>
        <v>25769.412447000002</v>
      </c>
      <c r="H28" s="110">
        <f t="shared" si="2"/>
        <v>466083.40000000008</v>
      </c>
      <c r="I28" s="578">
        <f t="shared" si="3"/>
        <v>46548</v>
      </c>
    </row>
    <row r="29" spans="1:9" x14ac:dyDescent="0.2">
      <c r="A29" s="102">
        <v>21</v>
      </c>
      <c r="B29" s="341">
        <v>1.89E-2</v>
      </c>
      <c r="C29" s="104">
        <f t="shared" si="4"/>
        <v>8808.9762600000013</v>
      </c>
      <c r="D29" s="277">
        <f t="shared" si="6"/>
        <v>474892.37626000011</v>
      </c>
      <c r="E29" s="104">
        <f t="shared" si="5"/>
        <v>16645.830000000002</v>
      </c>
      <c r="F29" s="104">
        <f t="shared" si="0"/>
        <v>8808.9762600000013</v>
      </c>
      <c r="G29" s="277">
        <f t="shared" si="1"/>
        <v>25454.806260000005</v>
      </c>
      <c r="H29" s="110">
        <f t="shared" si="2"/>
        <v>449437.57000000012</v>
      </c>
      <c r="I29" s="578">
        <f t="shared" si="3"/>
        <v>46578</v>
      </c>
    </row>
    <row r="30" spans="1:9" x14ac:dyDescent="0.2">
      <c r="A30" s="102">
        <v>22</v>
      </c>
      <c r="B30" s="341">
        <v>1.89E-2</v>
      </c>
      <c r="C30" s="104">
        <f t="shared" si="4"/>
        <v>8494.3700730000019</v>
      </c>
      <c r="D30" s="277">
        <f t="shared" si="6"/>
        <v>457931.94007300015</v>
      </c>
      <c r="E30" s="104">
        <f t="shared" si="5"/>
        <v>16645.830000000002</v>
      </c>
      <c r="F30" s="104">
        <f t="shared" si="0"/>
        <v>8494.3700730000019</v>
      </c>
      <c r="G30" s="277">
        <f t="shared" si="1"/>
        <v>25140.200073000004</v>
      </c>
      <c r="H30" s="110">
        <f t="shared" si="2"/>
        <v>432791.74000000017</v>
      </c>
      <c r="I30" s="578">
        <f t="shared" si="3"/>
        <v>46609</v>
      </c>
    </row>
    <row r="31" spans="1:9" x14ac:dyDescent="0.2">
      <c r="A31" s="102">
        <v>23</v>
      </c>
      <c r="B31" s="341">
        <v>1.89E-2</v>
      </c>
      <c r="C31" s="104">
        <f t="shared" si="4"/>
        <v>8179.7638860000034</v>
      </c>
      <c r="D31" s="277">
        <f t="shared" si="6"/>
        <v>440971.5038860002</v>
      </c>
      <c r="E31" s="104">
        <f t="shared" si="5"/>
        <v>16645.830000000002</v>
      </c>
      <c r="F31" s="104">
        <f t="shared" si="0"/>
        <v>8179.7638860000034</v>
      </c>
      <c r="G31" s="277">
        <f t="shared" si="1"/>
        <v>24825.593886000006</v>
      </c>
      <c r="H31" s="110">
        <f t="shared" si="2"/>
        <v>416145.91000000021</v>
      </c>
      <c r="I31" s="578">
        <f t="shared" si="3"/>
        <v>46640</v>
      </c>
    </row>
    <row r="32" spans="1:9" x14ac:dyDescent="0.2">
      <c r="A32" s="102">
        <v>24</v>
      </c>
      <c r="B32" s="341">
        <v>1.89E-2</v>
      </c>
      <c r="C32" s="104">
        <f t="shared" si="4"/>
        <v>7865.157699000004</v>
      </c>
      <c r="D32" s="277">
        <f t="shared" si="6"/>
        <v>424011.06769900024</v>
      </c>
      <c r="E32" s="104">
        <f t="shared" si="5"/>
        <v>16645.830000000002</v>
      </c>
      <c r="F32" s="104">
        <f t="shared" si="0"/>
        <v>7865.157699000004</v>
      </c>
      <c r="G32" s="277">
        <f t="shared" si="1"/>
        <v>24510.987699000005</v>
      </c>
      <c r="H32" s="110">
        <f t="shared" si="2"/>
        <v>399500.08000000025</v>
      </c>
      <c r="I32" s="578">
        <f t="shared" si="3"/>
        <v>46670</v>
      </c>
    </row>
    <row r="33" spans="1:12" x14ac:dyDescent="0.2">
      <c r="A33" s="102">
        <v>25</v>
      </c>
      <c r="B33" s="341">
        <v>1.89E-2</v>
      </c>
      <c r="C33" s="104">
        <f t="shared" si="4"/>
        <v>7550.5515120000045</v>
      </c>
      <c r="D33" s="277">
        <f t="shared" si="6"/>
        <v>407050.63151200023</v>
      </c>
      <c r="E33" s="104">
        <f t="shared" si="5"/>
        <v>16645.830000000002</v>
      </c>
      <c r="F33" s="104">
        <f t="shared" si="0"/>
        <v>7550.5515120000045</v>
      </c>
      <c r="G33" s="277">
        <f t="shared" si="1"/>
        <v>24196.381512000007</v>
      </c>
      <c r="H33" s="110">
        <f t="shared" si="2"/>
        <v>382854.25000000023</v>
      </c>
      <c r="I33" s="578">
        <f t="shared" si="3"/>
        <v>46701</v>
      </c>
    </row>
    <row r="34" spans="1:12" x14ac:dyDescent="0.2">
      <c r="A34" s="102">
        <v>26</v>
      </c>
      <c r="B34" s="341">
        <v>1.89E-2</v>
      </c>
      <c r="C34" s="104">
        <f t="shared" si="4"/>
        <v>7235.9453250000042</v>
      </c>
      <c r="D34" s="277">
        <f t="shared" si="6"/>
        <v>390090.19532500021</v>
      </c>
      <c r="E34" s="104">
        <f t="shared" si="5"/>
        <v>16645.830000000002</v>
      </c>
      <c r="F34" s="104">
        <f t="shared" si="0"/>
        <v>7235.9453250000042</v>
      </c>
      <c r="G34" s="277">
        <f t="shared" si="1"/>
        <v>23881.775325000006</v>
      </c>
      <c r="H34" s="110">
        <f t="shared" si="2"/>
        <v>366208.42000000022</v>
      </c>
      <c r="I34" s="578">
        <f t="shared" si="3"/>
        <v>46731</v>
      </c>
    </row>
    <row r="35" spans="1:12" x14ac:dyDescent="0.2">
      <c r="A35" s="102">
        <v>27</v>
      </c>
      <c r="B35" s="341">
        <v>1.89E-2</v>
      </c>
      <c r="C35" s="104">
        <f t="shared" si="4"/>
        <v>6921.3391380000039</v>
      </c>
      <c r="D35" s="277">
        <f t="shared" si="6"/>
        <v>373129.7591380002</v>
      </c>
      <c r="E35" s="104">
        <f t="shared" si="5"/>
        <v>16645.830000000002</v>
      </c>
      <c r="F35" s="104">
        <f t="shared" si="0"/>
        <v>6921.3391380000039</v>
      </c>
      <c r="G35" s="277">
        <f t="shared" si="1"/>
        <v>23567.169138000005</v>
      </c>
      <c r="H35" s="110">
        <f t="shared" si="2"/>
        <v>349562.5900000002</v>
      </c>
      <c r="I35" s="578">
        <f t="shared" si="3"/>
        <v>46762</v>
      </c>
    </row>
    <row r="36" spans="1:12" x14ac:dyDescent="0.2">
      <c r="A36" s="102">
        <v>28</v>
      </c>
      <c r="B36" s="341">
        <v>1.89E-2</v>
      </c>
      <c r="C36" s="104">
        <f t="shared" si="4"/>
        <v>6606.7329510000036</v>
      </c>
      <c r="D36" s="277">
        <f t="shared" si="6"/>
        <v>356169.32295100018</v>
      </c>
      <c r="E36" s="104">
        <f t="shared" si="5"/>
        <v>16645.830000000002</v>
      </c>
      <c r="F36" s="104">
        <f t="shared" si="0"/>
        <v>6606.7329510000036</v>
      </c>
      <c r="G36" s="277">
        <f t="shared" si="1"/>
        <v>23252.562951000007</v>
      </c>
      <c r="H36" s="110">
        <f t="shared" si="2"/>
        <v>332916.76000000018</v>
      </c>
      <c r="I36" s="578">
        <f t="shared" si="3"/>
        <v>46793</v>
      </c>
    </row>
    <row r="37" spans="1:12" x14ac:dyDescent="0.2">
      <c r="A37" s="102">
        <v>29</v>
      </c>
      <c r="B37" s="341">
        <v>1.89E-2</v>
      </c>
      <c r="C37" s="104">
        <f t="shared" si="4"/>
        <v>6292.1267640000033</v>
      </c>
      <c r="D37" s="277">
        <f t="shared" si="6"/>
        <v>339208.88676400017</v>
      </c>
      <c r="E37" s="104">
        <f t="shared" si="5"/>
        <v>16645.830000000002</v>
      </c>
      <c r="F37" s="104">
        <f t="shared" si="0"/>
        <v>6292.1267640000033</v>
      </c>
      <c r="G37" s="277">
        <f t="shared" si="1"/>
        <v>22937.956764000006</v>
      </c>
      <c r="H37" s="110">
        <f t="shared" si="2"/>
        <v>316270.93000000017</v>
      </c>
      <c r="I37" s="578">
        <f t="shared" si="3"/>
        <v>46822</v>
      </c>
    </row>
    <row r="38" spans="1:12" x14ac:dyDescent="0.2">
      <c r="A38" s="102">
        <v>30</v>
      </c>
      <c r="B38" s="341">
        <v>1.89E-2</v>
      </c>
      <c r="C38" s="104">
        <f t="shared" si="4"/>
        <v>5977.520577000003</v>
      </c>
      <c r="D38" s="277">
        <f t="shared" si="6"/>
        <v>322248.45057700016</v>
      </c>
      <c r="E38" s="104">
        <f t="shared" si="5"/>
        <v>16645.830000000002</v>
      </c>
      <c r="F38" s="104">
        <f t="shared" si="0"/>
        <v>5977.520577000003</v>
      </c>
      <c r="G38" s="277">
        <f t="shared" si="1"/>
        <v>22623.350577000005</v>
      </c>
      <c r="H38" s="110">
        <f t="shared" si="2"/>
        <v>299625.10000000015</v>
      </c>
      <c r="I38" s="578">
        <f t="shared" si="3"/>
        <v>46853</v>
      </c>
    </row>
    <row r="39" spans="1:12" x14ac:dyDescent="0.2">
      <c r="A39" s="102">
        <v>31</v>
      </c>
      <c r="B39" s="341">
        <v>1.89E-2</v>
      </c>
      <c r="C39" s="104">
        <f t="shared" si="4"/>
        <v>5662.9143900000026</v>
      </c>
      <c r="D39" s="277">
        <f t="shared" si="6"/>
        <v>305288.01439000014</v>
      </c>
      <c r="E39" s="104">
        <f t="shared" si="5"/>
        <v>16645.830000000002</v>
      </c>
      <c r="F39" s="104">
        <f t="shared" si="0"/>
        <v>5662.9143900000026</v>
      </c>
      <c r="G39" s="277">
        <f t="shared" si="1"/>
        <v>22308.744390000003</v>
      </c>
      <c r="H39" s="110">
        <f t="shared" si="2"/>
        <v>282979.27000000014</v>
      </c>
      <c r="I39" s="578">
        <f t="shared" si="3"/>
        <v>46883</v>
      </c>
    </row>
    <row r="40" spans="1:12" x14ac:dyDescent="0.2">
      <c r="A40" s="102">
        <v>32</v>
      </c>
      <c r="B40" s="341">
        <v>1.89E-2</v>
      </c>
      <c r="C40" s="104">
        <f t="shared" si="4"/>
        <v>5348.3082030000023</v>
      </c>
      <c r="D40" s="277">
        <f t="shared" si="6"/>
        <v>288327.57820300013</v>
      </c>
      <c r="E40" s="104">
        <f t="shared" si="5"/>
        <v>16645.830000000002</v>
      </c>
      <c r="F40" s="104">
        <f t="shared" si="0"/>
        <v>5348.3082030000023</v>
      </c>
      <c r="G40" s="277">
        <f t="shared" si="1"/>
        <v>21994.138203000002</v>
      </c>
      <c r="H40" s="110">
        <f t="shared" si="2"/>
        <v>266333.44000000012</v>
      </c>
      <c r="I40" s="578">
        <f t="shared" si="3"/>
        <v>46914</v>
      </c>
    </row>
    <row r="41" spans="1:12" x14ac:dyDescent="0.2">
      <c r="A41" s="102">
        <v>33</v>
      </c>
      <c r="B41" s="341">
        <v>1.89E-2</v>
      </c>
      <c r="C41" s="104">
        <f t="shared" si="4"/>
        <v>5033.702016000002</v>
      </c>
      <c r="D41" s="277">
        <f t="shared" si="6"/>
        <v>271367.14201600011</v>
      </c>
      <c r="E41" s="104">
        <f t="shared" si="5"/>
        <v>16645.830000000002</v>
      </c>
      <c r="F41" s="104">
        <f t="shared" si="0"/>
        <v>5033.702016000002</v>
      </c>
      <c r="G41" s="277">
        <f t="shared" si="1"/>
        <v>21679.532016000005</v>
      </c>
      <c r="H41" s="110">
        <f t="shared" si="2"/>
        <v>249687.6100000001</v>
      </c>
      <c r="I41" s="578">
        <f t="shared" si="3"/>
        <v>46944</v>
      </c>
    </row>
    <row r="42" spans="1:12" x14ac:dyDescent="0.2">
      <c r="A42" s="102">
        <v>34</v>
      </c>
      <c r="B42" s="341">
        <v>1.89E-2</v>
      </c>
      <c r="C42" s="104">
        <f t="shared" si="4"/>
        <v>4719.0958290000017</v>
      </c>
      <c r="D42" s="277">
        <f t="shared" si="6"/>
        <v>254406.7058290001</v>
      </c>
      <c r="E42" s="104">
        <f t="shared" si="5"/>
        <v>16645.830000000002</v>
      </c>
      <c r="F42" s="104">
        <f t="shared" si="0"/>
        <v>4719.0958290000017</v>
      </c>
      <c r="G42" s="277">
        <f t="shared" si="1"/>
        <v>21364.925829000003</v>
      </c>
      <c r="H42" s="110">
        <f t="shared" si="2"/>
        <v>233041.78000000009</v>
      </c>
      <c r="I42" s="578">
        <f t="shared" si="3"/>
        <v>46975</v>
      </c>
    </row>
    <row r="43" spans="1:12" x14ac:dyDescent="0.2">
      <c r="A43" s="102">
        <v>35</v>
      </c>
      <c r="B43" s="341">
        <v>1.89E-2</v>
      </c>
      <c r="C43" s="104">
        <f t="shared" si="4"/>
        <v>4404.4896420000014</v>
      </c>
      <c r="D43" s="277">
        <f t="shared" si="6"/>
        <v>237446.26964200009</v>
      </c>
      <c r="E43" s="104">
        <f t="shared" si="5"/>
        <v>16645.830000000002</v>
      </c>
      <c r="F43" s="104">
        <f t="shared" si="0"/>
        <v>4404.4896420000014</v>
      </c>
      <c r="G43" s="277">
        <f t="shared" si="1"/>
        <v>21050.319642000002</v>
      </c>
      <c r="H43" s="110">
        <f t="shared" si="2"/>
        <v>216395.95000000007</v>
      </c>
      <c r="I43" s="578">
        <f t="shared" si="3"/>
        <v>47006</v>
      </c>
    </row>
    <row r="44" spans="1:12" x14ac:dyDescent="0.2">
      <c r="A44" s="102">
        <v>36</v>
      </c>
      <c r="B44" s="341">
        <v>1.89E-2</v>
      </c>
      <c r="C44" s="104">
        <f t="shared" si="4"/>
        <v>4089.8834550000015</v>
      </c>
      <c r="D44" s="277">
        <f t="shared" si="6"/>
        <v>220485.83345500007</v>
      </c>
      <c r="E44" s="104">
        <f t="shared" si="5"/>
        <v>16645.830000000002</v>
      </c>
      <c r="F44" s="104">
        <f t="shared" si="0"/>
        <v>4089.8834550000015</v>
      </c>
      <c r="G44" s="277">
        <f t="shared" si="1"/>
        <v>20735.713455000005</v>
      </c>
      <c r="H44" s="110">
        <f t="shared" si="2"/>
        <v>199750.12000000005</v>
      </c>
      <c r="I44" s="578"/>
    </row>
    <row r="45" spans="1:12" x14ac:dyDescent="0.2">
      <c r="A45" s="102">
        <v>37</v>
      </c>
      <c r="B45" s="341">
        <v>1.89E-2</v>
      </c>
      <c r="C45" s="104">
        <f t="shared" si="4"/>
        <v>3775.2772680000012</v>
      </c>
      <c r="D45" s="277">
        <f t="shared" si="6"/>
        <v>203525.39726800006</v>
      </c>
      <c r="E45" s="104">
        <f t="shared" si="5"/>
        <v>16645.830000000002</v>
      </c>
      <c r="F45" s="104">
        <f t="shared" si="0"/>
        <v>3775.2772680000012</v>
      </c>
      <c r="G45" s="277">
        <f t="shared" si="1"/>
        <v>20421.107268000003</v>
      </c>
      <c r="H45" s="110">
        <f t="shared" si="2"/>
        <v>183104.29000000007</v>
      </c>
      <c r="I45" s="578"/>
    </row>
    <row r="46" spans="1:12" x14ac:dyDescent="0.2">
      <c r="A46" s="102">
        <v>38</v>
      </c>
      <c r="B46" s="341">
        <v>1.89E-2</v>
      </c>
      <c r="C46" s="104">
        <f t="shared" si="4"/>
        <v>3460.6710810000013</v>
      </c>
      <c r="D46" s="277">
        <f t="shared" si="6"/>
        <v>186564.96108100007</v>
      </c>
      <c r="E46" s="104">
        <f t="shared" si="5"/>
        <v>16645.830000000002</v>
      </c>
      <c r="F46" s="104">
        <f t="shared" si="0"/>
        <v>3460.6710810000013</v>
      </c>
      <c r="G46" s="277">
        <f t="shared" si="1"/>
        <v>20106.501081000002</v>
      </c>
      <c r="H46" s="110">
        <f t="shared" si="2"/>
        <v>166458.46000000008</v>
      </c>
      <c r="I46" s="578"/>
    </row>
    <row r="47" spans="1:12" x14ac:dyDescent="0.2">
      <c r="A47" s="102">
        <v>39</v>
      </c>
      <c r="B47" s="341">
        <v>1.89E-2</v>
      </c>
      <c r="C47" s="104">
        <f t="shared" si="4"/>
        <v>3146.0648940000015</v>
      </c>
      <c r="D47" s="277">
        <f t="shared" si="6"/>
        <v>169604.52489400009</v>
      </c>
      <c r="E47" s="104">
        <f t="shared" si="5"/>
        <v>16645.830000000002</v>
      </c>
      <c r="F47" s="104">
        <f t="shared" si="0"/>
        <v>3146.0648940000015</v>
      </c>
      <c r="G47" s="277">
        <f t="shared" si="1"/>
        <v>19791.894894000005</v>
      </c>
      <c r="H47" s="110">
        <f t="shared" si="2"/>
        <v>149812.63000000009</v>
      </c>
      <c r="I47" s="578"/>
    </row>
    <row r="48" spans="1:12" x14ac:dyDescent="0.2">
      <c r="A48" s="102">
        <v>40</v>
      </c>
      <c r="B48" s="341">
        <v>1.89E-2</v>
      </c>
      <c r="C48" s="104">
        <f t="shared" si="4"/>
        <v>2831.4587070000016</v>
      </c>
      <c r="D48" s="277">
        <f t="shared" si="6"/>
        <v>152644.0887070001</v>
      </c>
      <c r="E48" s="104">
        <f t="shared" si="5"/>
        <v>16645.830000000002</v>
      </c>
      <c r="F48" s="104">
        <f t="shared" si="0"/>
        <v>2831.4587070000016</v>
      </c>
      <c r="G48" s="277">
        <f t="shared" si="1"/>
        <v>19477.288707000003</v>
      </c>
      <c r="H48" s="110">
        <f t="shared" si="2"/>
        <v>133166.8000000001</v>
      </c>
      <c r="I48" s="578"/>
      <c r="K48" s="447" t="s">
        <v>253</v>
      </c>
      <c r="L48" s="447"/>
    </row>
    <row r="49" spans="1:12" x14ac:dyDescent="0.2">
      <c r="A49" s="102">
        <v>41</v>
      </c>
      <c r="B49" s="341">
        <v>1.89E-2</v>
      </c>
      <c r="C49" s="104">
        <f t="shared" si="4"/>
        <v>2516.8525200000022</v>
      </c>
      <c r="D49" s="277">
        <f t="shared" si="6"/>
        <v>135683.65252000012</v>
      </c>
      <c r="E49" s="104">
        <f t="shared" si="5"/>
        <v>16645.830000000002</v>
      </c>
      <c r="F49" s="104">
        <f t="shared" si="0"/>
        <v>2516.8525200000022</v>
      </c>
      <c r="G49" s="277">
        <f t="shared" si="1"/>
        <v>19162.682520000002</v>
      </c>
      <c r="H49" s="110">
        <f t="shared" si="2"/>
        <v>116520.97000000012</v>
      </c>
      <c r="I49" s="578"/>
      <c r="K49" s="447"/>
      <c r="L49" s="447"/>
    </row>
    <row r="50" spans="1:12" x14ac:dyDescent="0.2">
      <c r="A50" s="102">
        <v>42</v>
      </c>
      <c r="B50" s="341">
        <v>1.89E-2</v>
      </c>
      <c r="C50" s="104">
        <f t="shared" si="4"/>
        <v>2202.2463330000023</v>
      </c>
      <c r="D50" s="277">
        <f t="shared" si="6"/>
        <v>118723.21633300012</v>
      </c>
      <c r="E50" s="104">
        <f t="shared" si="5"/>
        <v>16645.830000000002</v>
      </c>
      <c r="F50" s="104">
        <f t="shared" si="0"/>
        <v>2202.2463330000023</v>
      </c>
      <c r="G50" s="277">
        <f t="shared" si="1"/>
        <v>18848.076333000005</v>
      </c>
      <c r="H50" s="110">
        <f t="shared" si="2"/>
        <v>99875.140000000116</v>
      </c>
      <c r="I50" s="578"/>
    </row>
    <row r="51" spans="1:12" x14ac:dyDescent="0.2">
      <c r="A51" s="102">
        <v>43</v>
      </c>
      <c r="B51" s="341">
        <v>1.89E-2</v>
      </c>
      <c r="C51" s="104">
        <f t="shared" si="4"/>
        <v>1887.6401460000022</v>
      </c>
      <c r="D51" s="277">
        <f t="shared" si="6"/>
        <v>101762.78014600012</v>
      </c>
      <c r="E51" s="104">
        <f t="shared" si="5"/>
        <v>16645.830000000002</v>
      </c>
      <c r="F51" s="104">
        <f t="shared" si="0"/>
        <v>1887.6401460000022</v>
      </c>
      <c r="G51" s="277">
        <f t="shared" si="1"/>
        <v>18533.470146000003</v>
      </c>
      <c r="H51" s="110">
        <f t="shared" si="2"/>
        <v>83229.310000000114</v>
      </c>
      <c r="I51" s="578"/>
    </row>
    <row r="52" spans="1:12" x14ac:dyDescent="0.2">
      <c r="A52" s="102">
        <v>44</v>
      </c>
      <c r="B52" s="341">
        <v>1.89E-2</v>
      </c>
      <c r="C52" s="104">
        <f t="shared" si="4"/>
        <v>1573.0339590000021</v>
      </c>
      <c r="D52" s="277">
        <f t="shared" si="6"/>
        <v>84802.343959000122</v>
      </c>
      <c r="E52" s="104">
        <f t="shared" si="5"/>
        <v>16645.830000000002</v>
      </c>
      <c r="F52" s="104">
        <f t="shared" si="0"/>
        <v>1573.0339590000021</v>
      </c>
      <c r="G52" s="277">
        <f t="shared" si="1"/>
        <v>18218.863959000002</v>
      </c>
      <c r="H52" s="110">
        <f t="shared" si="2"/>
        <v>66583.480000000127</v>
      </c>
      <c r="I52" s="578"/>
    </row>
    <row r="53" spans="1:12" x14ac:dyDescent="0.2">
      <c r="A53" s="102">
        <v>45</v>
      </c>
      <c r="B53" s="341">
        <v>1.89E-2</v>
      </c>
      <c r="C53" s="104">
        <f t="shared" si="4"/>
        <v>1258.4277720000025</v>
      </c>
      <c r="D53" s="277">
        <f t="shared" si="6"/>
        <v>67841.907772000122</v>
      </c>
      <c r="E53" s="104">
        <f t="shared" si="5"/>
        <v>16645.830000000002</v>
      </c>
      <c r="F53" s="104">
        <f t="shared" si="0"/>
        <v>1258.4277720000025</v>
      </c>
      <c r="G53" s="277">
        <f t="shared" si="1"/>
        <v>17904.257772000004</v>
      </c>
      <c r="H53" s="110">
        <f t="shared" si="2"/>
        <v>49937.650000000118</v>
      </c>
      <c r="I53" s="578"/>
    </row>
    <row r="54" spans="1:12" x14ac:dyDescent="0.2">
      <c r="A54" s="102">
        <v>46</v>
      </c>
      <c r="B54" s="341">
        <v>1.89E-2</v>
      </c>
      <c r="C54" s="104">
        <f t="shared" si="4"/>
        <v>943.82158500000219</v>
      </c>
      <c r="D54" s="277">
        <f t="shared" si="6"/>
        <v>50881.471585000123</v>
      </c>
      <c r="E54" s="104">
        <f t="shared" si="5"/>
        <v>16645.830000000002</v>
      </c>
      <c r="F54" s="104">
        <f t="shared" si="0"/>
        <v>943.82158500000219</v>
      </c>
      <c r="G54" s="277">
        <f t="shared" si="1"/>
        <v>17589.651585000003</v>
      </c>
      <c r="H54" s="110">
        <f t="shared" si="2"/>
        <v>33291.820000000123</v>
      </c>
      <c r="I54" s="578"/>
    </row>
    <row r="55" spans="1:12" x14ac:dyDescent="0.2">
      <c r="A55" s="102">
        <v>47</v>
      </c>
      <c r="B55" s="341">
        <v>1.89E-2</v>
      </c>
      <c r="C55" s="104">
        <f t="shared" si="4"/>
        <v>629.21539800000232</v>
      </c>
      <c r="D55" s="277">
        <f t="shared" si="6"/>
        <v>33921.035398000124</v>
      </c>
      <c r="E55" s="104">
        <f t="shared" si="5"/>
        <v>16645.830000000002</v>
      </c>
      <c r="F55" s="104">
        <f t="shared" si="0"/>
        <v>629.21539800000232</v>
      </c>
      <c r="G55" s="277">
        <f t="shared" si="1"/>
        <v>17275.045398000006</v>
      </c>
      <c r="H55" s="110">
        <f t="shared" si="2"/>
        <v>16645.990000000118</v>
      </c>
      <c r="I55" s="578"/>
    </row>
    <row r="56" spans="1:12" x14ac:dyDescent="0.2">
      <c r="A56" s="102">
        <v>48</v>
      </c>
      <c r="B56" s="341">
        <v>1.89E-2</v>
      </c>
      <c r="C56" s="104">
        <f t="shared" si="4"/>
        <v>314.60921100000223</v>
      </c>
      <c r="D56" s="277">
        <f t="shared" si="6"/>
        <v>16960.599211000121</v>
      </c>
      <c r="E56" s="104">
        <f t="shared" si="5"/>
        <v>16645.830000000002</v>
      </c>
      <c r="F56" s="104">
        <f t="shared" si="0"/>
        <v>314.60921100000223</v>
      </c>
      <c r="G56" s="277">
        <f t="shared" si="1"/>
        <v>16960.439211000004</v>
      </c>
      <c r="H56" s="110">
        <f t="shared" si="2"/>
        <v>0.1600000001162698</v>
      </c>
      <c r="I56" s="578"/>
    </row>
    <row r="57" spans="1:12" x14ac:dyDescent="0.2">
      <c r="A57" s="102"/>
      <c r="B57" s="341"/>
      <c r="C57" s="104"/>
      <c r="D57" s="277"/>
      <c r="E57" s="104"/>
      <c r="F57" s="104"/>
      <c r="G57" s="277"/>
      <c r="H57" s="104"/>
      <c r="I57" s="578"/>
    </row>
    <row r="58" spans="1:12" x14ac:dyDescent="0.2">
      <c r="A58" s="106" t="s">
        <v>28</v>
      </c>
      <c r="B58" s="341"/>
      <c r="C58" s="104"/>
      <c r="D58" s="277"/>
      <c r="E58" s="104"/>
      <c r="F58" s="104"/>
      <c r="G58" s="277"/>
      <c r="H58" s="104"/>
      <c r="I58" s="578"/>
    </row>
    <row r="59" spans="1:12" x14ac:dyDescent="0.2">
      <c r="B59" s="107"/>
      <c r="C59" s="108">
        <f>SUM(C9:C12)</f>
        <v>58516.762877999994</v>
      </c>
      <c r="D59" s="108">
        <f>D43</f>
        <v>237446.26964200009</v>
      </c>
      <c r="E59" s="108">
        <f>SUM(E9:E43)</f>
        <v>582604.05000000028</v>
      </c>
      <c r="F59" s="107">
        <f>SUM(F9:F43)</f>
        <v>341347.81873499992</v>
      </c>
      <c r="G59" s="107">
        <f>SUM(E59:F59)</f>
        <v>923951.86873500026</v>
      </c>
      <c r="H59" s="106"/>
      <c r="I59" s="580"/>
    </row>
    <row r="60" spans="1:12" x14ac:dyDescent="0.2">
      <c r="B60" s="109"/>
      <c r="E60" s="110"/>
      <c r="F60" s="109"/>
      <c r="G60" s="109"/>
    </row>
    <row r="61" spans="1:12" x14ac:dyDescent="0.2">
      <c r="B61" s="109"/>
      <c r="E61" s="110"/>
      <c r="F61" s="109"/>
      <c r="G61" s="109"/>
    </row>
    <row r="62" spans="1:12" x14ac:dyDescent="0.2">
      <c r="B62" s="109"/>
      <c r="E62" s="110"/>
      <c r="F62" s="109"/>
      <c r="G62" s="109"/>
    </row>
    <row r="63" spans="1:12" x14ac:dyDescent="0.2">
      <c r="A63" t="s">
        <v>254</v>
      </c>
      <c r="F63" s="109"/>
    </row>
    <row r="64" spans="1:12" x14ac:dyDescent="0.2">
      <c r="A64" s="111" t="s">
        <v>255</v>
      </c>
      <c r="F64" s="450" t="s">
        <v>256</v>
      </c>
      <c r="G64" s="450"/>
    </row>
    <row r="65" spans="1:13" x14ac:dyDescent="0.2">
      <c r="A65" s="111" t="s">
        <v>257</v>
      </c>
      <c r="B65" s="451"/>
      <c r="C65" s="452"/>
      <c r="D65" s="112"/>
      <c r="F65" s="215" t="s">
        <v>258</v>
      </c>
      <c r="G65" s="215">
        <v>4</v>
      </c>
      <c r="H65">
        <f>G65*12</f>
        <v>48</v>
      </c>
    </row>
    <row r="66" spans="1:13" x14ac:dyDescent="0.2">
      <c r="A66" t="s">
        <v>259</v>
      </c>
      <c r="B66" s="448"/>
      <c r="C66" s="449"/>
      <c r="D66" s="49"/>
      <c r="F66" s="215" t="s">
        <v>260</v>
      </c>
      <c r="G66" s="342">
        <v>0.22700000000000001</v>
      </c>
      <c r="H66" t="s">
        <v>261</v>
      </c>
      <c r="I66">
        <v>48</v>
      </c>
    </row>
    <row r="67" spans="1:13" x14ac:dyDescent="0.2">
      <c r="A67" s="111" t="s">
        <v>255</v>
      </c>
      <c r="F67" s="215" t="s">
        <v>262</v>
      </c>
      <c r="G67" s="215" t="s">
        <v>263</v>
      </c>
      <c r="I67" s="274">
        <f>G66/I66</f>
        <v>4.7291666666666671E-3</v>
      </c>
    </row>
    <row r="68" spans="1:13" x14ac:dyDescent="0.2">
      <c r="A68" s="111" t="s">
        <v>257</v>
      </c>
      <c r="B68" s="451">
        <f>+H12-B65</f>
        <v>732416.67999999993</v>
      </c>
      <c r="C68" s="452"/>
      <c r="E68" s="109"/>
      <c r="F68" s="215" t="s">
        <v>264</v>
      </c>
      <c r="G68" s="216" t="s">
        <v>265</v>
      </c>
      <c r="I68" s="275">
        <f>-PMT(I67,H65,I69)</f>
        <v>18645.714155960512</v>
      </c>
    </row>
    <row r="69" spans="1:13" x14ac:dyDescent="0.2">
      <c r="B69" s="448"/>
      <c r="C69" s="449"/>
      <c r="I69" s="110">
        <v>799000</v>
      </c>
    </row>
    <row r="74" spans="1:13" ht="15.75" x14ac:dyDescent="0.25">
      <c r="B74" s="426" t="s">
        <v>244</v>
      </c>
      <c r="C74" s="426"/>
      <c r="D74" s="426"/>
      <c r="E74" s="426"/>
      <c r="F74" s="426"/>
      <c r="G74" s="426"/>
      <c r="H74" s="426"/>
      <c r="I74" s="426"/>
      <c r="J74" s="426"/>
    </row>
    <row r="75" spans="1:13" x14ac:dyDescent="0.2">
      <c r="C75" s="357"/>
      <c r="D75" s="357"/>
      <c r="E75" s="357"/>
      <c r="F75" s="357"/>
      <c r="G75" s="357"/>
      <c r="H75" s="357"/>
      <c r="I75" s="357"/>
      <c r="J75" s="358">
        <f>H7</f>
        <v>799000</v>
      </c>
    </row>
    <row r="76" spans="1:13" ht="25.5" x14ac:dyDescent="0.2">
      <c r="B76" s="101" t="s">
        <v>150</v>
      </c>
      <c r="C76" s="101" t="s">
        <v>245</v>
      </c>
      <c r="D76" s="101" t="s">
        <v>246</v>
      </c>
      <c r="E76" s="101" t="s">
        <v>247</v>
      </c>
      <c r="F76" s="101" t="s">
        <v>248</v>
      </c>
      <c r="G76" s="278" t="s">
        <v>249</v>
      </c>
      <c r="H76" s="101" t="s">
        <v>250</v>
      </c>
      <c r="I76" s="101" t="s">
        <v>251</v>
      </c>
      <c r="J76" s="113" t="s">
        <v>252</v>
      </c>
    </row>
    <row r="77" spans="1:13" x14ac:dyDescent="0.2">
      <c r="B77" s="102">
        <v>12</v>
      </c>
      <c r="C77" s="359">
        <v>0.22700000000000001</v>
      </c>
      <c r="D77" s="360">
        <f>J75*C77</f>
        <v>181373</v>
      </c>
      <c r="E77" s="361">
        <f>J75+D77</f>
        <v>980373</v>
      </c>
      <c r="F77" s="362">
        <f>J75/4</f>
        <v>199750</v>
      </c>
      <c r="G77" s="360">
        <f>D77</f>
        <v>181373</v>
      </c>
      <c r="H77" s="363">
        <f>F77+G77</f>
        <v>381123</v>
      </c>
      <c r="I77" s="103">
        <f>E77-H77</f>
        <v>599250</v>
      </c>
      <c r="J77" s="364"/>
    </row>
    <row r="78" spans="1:13" x14ac:dyDescent="0.2">
      <c r="B78" s="102">
        <f>12*2</f>
        <v>24</v>
      </c>
      <c r="C78" s="359">
        <v>0.22700000000000001</v>
      </c>
      <c r="D78" s="360">
        <f>I77*C78</f>
        <v>136029.75</v>
      </c>
      <c r="E78" s="365">
        <f>I77+D78</f>
        <v>735279.75</v>
      </c>
      <c r="F78" s="362">
        <f>J75/4</f>
        <v>199750</v>
      </c>
      <c r="G78" s="360">
        <f>D78</f>
        <v>136029.75</v>
      </c>
      <c r="H78" s="363">
        <f>G78+F78</f>
        <v>335779.75</v>
      </c>
      <c r="I78" s="105">
        <f>E78-H78</f>
        <v>399500</v>
      </c>
      <c r="J78" s="364"/>
      <c r="L78" s="447" t="s">
        <v>266</v>
      </c>
      <c r="M78" s="447"/>
    </row>
    <row r="79" spans="1:13" x14ac:dyDescent="0.2">
      <c r="B79" s="102">
        <f>12*3</f>
        <v>36</v>
      </c>
      <c r="C79" s="359">
        <v>0.22700000000000001</v>
      </c>
      <c r="D79" s="360">
        <f>I78*C79</f>
        <v>90686.5</v>
      </c>
      <c r="E79" s="365">
        <f t="shared" ref="E79:E80" si="7">I78+D79</f>
        <v>490186.5</v>
      </c>
      <c r="F79" s="362">
        <f>J75/4</f>
        <v>199750</v>
      </c>
      <c r="G79" s="360">
        <f t="shared" ref="G79:G80" si="8">D79</f>
        <v>90686.5</v>
      </c>
      <c r="H79" s="363">
        <f>G79+F79</f>
        <v>290436.5</v>
      </c>
      <c r="I79" s="105">
        <f>E79-H79</f>
        <v>199750</v>
      </c>
      <c r="J79" s="364"/>
      <c r="L79" s="447"/>
      <c r="M79" s="447"/>
    </row>
    <row r="80" spans="1:13" x14ac:dyDescent="0.2">
      <c r="B80" s="102">
        <f>12*4</f>
        <v>48</v>
      </c>
      <c r="C80" s="359">
        <v>0.22700000000000001</v>
      </c>
      <c r="D80" s="360">
        <f>I79*C80</f>
        <v>45343.25</v>
      </c>
      <c r="E80" s="365">
        <f t="shared" si="7"/>
        <v>245093.25</v>
      </c>
      <c r="F80" s="362">
        <f>J75/4</f>
        <v>199750</v>
      </c>
      <c r="G80" s="360">
        <f t="shared" si="8"/>
        <v>45343.25</v>
      </c>
      <c r="H80" s="362">
        <f>G80+F80</f>
        <v>245093.25</v>
      </c>
      <c r="I80" s="105">
        <f>E80-H80</f>
        <v>0</v>
      </c>
      <c r="J80" s="364"/>
    </row>
    <row r="81" spans="2:10" x14ac:dyDescent="0.2">
      <c r="B81" s="106" t="s">
        <v>28</v>
      </c>
      <c r="C81" s="107"/>
      <c r="D81" s="108">
        <f>SUM(D77:D80)</f>
        <v>453432.5</v>
      </c>
      <c r="E81" s="108"/>
      <c r="F81" s="108">
        <v>0</v>
      </c>
      <c r="G81" s="107">
        <f>SUM(G77:G80)</f>
        <v>453432.5</v>
      </c>
      <c r="H81" s="107">
        <v>0</v>
      </c>
      <c r="I81" s="106"/>
      <c r="J81" s="106"/>
    </row>
  </sheetData>
  <mergeCells count="9">
    <mergeCell ref="B74:J74"/>
    <mergeCell ref="K48:L49"/>
    <mergeCell ref="L78:M79"/>
    <mergeCell ref="B69:C69"/>
    <mergeCell ref="A6:I6"/>
    <mergeCell ref="F64:G64"/>
    <mergeCell ref="B65:C65"/>
    <mergeCell ref="B66:C66"/>
    <mergeCell ref="B68:C68"/>
  </mergeCells>
  <pageMargins left="0.75" right="0.75" top="1" bottom="1" header="0" footer="0"/>
  <pageSetup orientation="landscape"/>
  <headerFooter alignWithMargins="0"/>
  <ignoredErrors>
    <ignoredError sqref="D10" 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B538-BF20-4D29-822D-047F402DF2B5}">
  <dimension ref="A1:AM61"/>
  <sheetViews>
    <sheetView zoomScale="90" zoomScaleNormal="90" workbookViewId="0">
      <selection activeCell="G1" sqref="G1"/>
    </sheetView>
    <sheetView zoomScale="67" zoomScaleNormal="100" workbookViewId="1">
      <selection activeCell="G47" sqref="G47"/>
    </sheetView>
  </sheetViews>
  <sheetFormatPr baseColWidth="10" defaultColWidth="11.42578125" defaultRowHeight="12.75" x14ac:dyDescent="0.2"/>
  <cols>
    <col min="1" max="1" width="35.42578125" customWidth="1"/>
    <col min="2" max="2" width="20.5703125" bestFit="1" customWidth="1"/>
    <col min="3" max="3" width="23.7109375" bestFit="1" customWidth="1"/>
    <col min="4" max="4" width="20.140625" bestFit="1" customWidth="1"/>
    <col min="5" max="5" width="25.7109375" bestFit="1" customWidth="1"/>
    <col min="6" max="6" width="18.28515625" bestFit="1" customWidth="1"/>
    <col min="7" max="7" width="22.28515625" customWidth="1"/>
    <col min="19" max="19" width="34" bestFit="1" customWidth="1"/>
    <col min="20" max="21" width="14" bestFit="1" customWidth="1"/>
    <col min="22" max="22" width="18.140625" bestFit="1" customWidth="1"/>
    <col min="23" max="23" width="14" bestFit="1" customWidth="1"/>
    <col min="24" max="37" width="12.85546875" bestFit="1" customWidth="1"/>
    <col min="38" max="39" width="12" bestFit="1" customWidth="1"/>
  </cols>
  <sheetData>
    <row r="1" spans="1:39" ht="18" x14ac:dyDescent="0.25">
      <c r="A1" s="47"/>
    </row>
    <row r="2" spans="1:39" ht="18" x14ac:dyDescent="0.25">
      <c r="A2" s="47"/>
    </row>
    <row r="4" spans="1:39" ht="18.75" x14ac:dyDescent="0.3">
      <c r="A4" s="65" t="s">
        <v>267</v>
      </c>
    </row>
    <row r="5" spans="1:39" ht="15.75" x14ac:dyDescent="0.25">
      <c r="A5" s="552" t="s">
        <v>70</v>
      </c>
      <c r="B5" s="554" t="s">
        <v>122</v>
      </c>
      <c r="C5" s="558" t="s">
        <v>123</v>
      </c>
      <c r="D5" s="562" t="s">
        <v>268</v>
      </c>
      <c r="E5" s="566" t="s">
        <v>125</v>
      </c>
      <c r="F5" s="570" t="s">
        <v>126</v>
      </c>
      <c r="S5" t="s">
        <v>269</v>
      </c>
      <c r="T5">
        <v>97.5</v>
      </c>
    </row>
    <row r="6" spans="1:39" ht="15.75" x14ac:dyDescent="0.25">
      <c r="A6" s="66" t="s">
        <v>108</v>
      </c>
      <c r="B6" s="67"/>
      <c r="C6" s="67"/>
      <c r="D6" s="67"/>
      <c r="E6" s="67"/>
      <c r="F6" s="67"/>
      <c r="S6" t="s">
        <v>270</v>
      </c>
      <c r="T6">
        <f>B10/(2990*12)</f>
        <v>48.226797867136632</v>
      </c>
    </row>
    <row r="7" spans="1:39" ht="15" x14ac:dyDescent="0.2">
      <c r="A7" s="68" t="s">
        <v>92</v>
      </c>
      <c r="B7" s="69">
        <f>'CUADRO DE EGRESOS E INGRESOS'!O13</f>
        <v>3655699.0469999998</v>
      </c>
      <c r="C7" s="69">
        <f>INGRESOS!N29</f>
        <v>4156302.4284599992</v>
      </c>
      <c r="D7" s="69">
        <f>INGRESOS!N41</f>
        <v>4530369.6470213998</v>
      </c>
      <c r="E7" s="69">
        <f>INGRESOS!N53</f>
        <v>4938102.9152533263</v>
      </c>
      <c r="F7" s="69">
        <f>INGRESOS!N65</f>
        <v>5382532.1776261274</v>
      </c>
      <c r="S7" t="s">
        <v>271</v>
      </c>
      <c r="T7" s="160">
        <v>669999.96</v>
      </c>
      <c r="U7" s="279" t="e">
        <f>T20*15%</f>
        <v>#REF!</v>
      </c>
    </row>
    <row r="8" spans="1:39" ht="15" x14ac:dyDescent="0.2">
      <c r="A8" s="68"/>
      <c r="B8" s="23"/>
      <c r="C8" s="19"/>
      <c r="D8" s="19"/>
      <c r="E8" s="64"/>
      <c r="F8" s="64"/>
    </row>
    <row r="9" spans="1:39" ht="15.75" x14ac:dyDescent="0.25">
      <c r="A9" s="553" t="s">
        <v>272</v>
      </c>
      <c r="B9" s="555"/>
      <c r="C9" s="559"/>
      <c r="D9" s="563"/>
      <c r="E9" s="567"/>
      <c r="F9" s="571"/>
      <c r="S9" t="s">
        <v>273</v>
      </c>
      <c r="T9" s="337">
        <f>T7/(T5-T6)</f>
        <v>13597.654120253233</v>
      </c>
    </row>
    <row r="10" spans="1:39" ht="15" x14ac:dyDescent="0.2">
      <c r="A10" s="68" t="s">
        <v>274</v>
      </c>
      <c r="B10" s="93">
        <f>COSTOS!N29</f>
        <v>1730377.5074728625</v>
      </c>
      <c r="C10" s="93">
        <f>COSTOS!N44</f>
        <v>1741856.2600228623</v>
      </c>
      <c r="D10" s="93">
        <f>COSTOS!N57</f>
        <v>1753426.1219589869</v>
      </c>
      <c r="E10" s="93">
        <f>COSTOS!N70</f>
        <v>1765087.8267890534</v>
      </c>
      <c r="F10" s="93">
        <f>COSTOS!N83</f>
        <v>1776842.1140240591</v>
      </c>
      <c r="S10" t="s">
        <v>273</v>
      </c>
      <c r="T10" s="110">
        <f>T7/(1-(T6/T5))</f>
        <v>1325771.2767246901</v>
      </c>
    </row>
    <row r="11" spans="1:39" ht="15" x14ac:dyDescent="0.2">
      <c r="A11" s="68" t="s">
        <v>275</v>
      </c>
      <c r="B11" s="93">
        <f>COSTOS!N33</f>
        <v>404000.31599999988</v>
      </c>
      <c r="C11" s="93">
        <f>COSTOS!N48</f>
        <v>406046.32440000004</v>
      </c>
      <c r="D11" s="93">
        <f>COSTOS!N61</f>
        <v>408112.79288399994</v>
      </c>
      <c r="E11" s="93">
        <f>COSTOS!N74</f>
        <v>410199.9260528399</v>
      </c>
      <c r="F11" s="93">
        <f>COSTOS!N87</f>
        <v>412307.93055336853</v>
      </c>
    </row>
    <row r="12" spans="1:39" ht="15.75" x14ac:dyDescent="0.25">
      <c r="A12" s="68"/>
      <c r="B12" s="71"/>
      <c r="C12" s="72"/>
      <c r="D12" s="19"/>
      <c r="E12" s="64"/>
      <c r="F12" s="64"/>
    </row>
    <row r="13" spans="1:39" ht="15.75" x14ac:dyDescent="0.25">
      <c r="A13" s="553" t="s">
        <v>276</v>
      </c>
      <c r="B13" s="555">
        <f>B7-B10-B11</f>
        <v>1521321.2235271374</v>
      </c>
      <c r="C13" s="559">
        <f>C7-C10-C11</f>
        <v>2008399.8440371368</v>
      </c>
      <c r="D13" s="563">
        <f>D7-D10-D11</f>
        <v>2368830.7321784128</v>
      </c>
      <c r="E13" s="567">
        <f>E7-E10-E11</f>
        <v>2762815.1624114332</v>
      </c>
      <c r="F13" s="571">
        <f>F7-F10-F11</f>
        <v>3193382.1330487002</v>
      </c>
    </row>
    <row r="14" spans="1:39" ht="15" x14ac:dyDescent="0.2">
      <c r="A14" s="68" t="s">
        <v>277</v>
      </c>
      <c r="B14" s="285">
        <f>'CUADRO DE EGRESOS E INGRESOS'!Q17</f>
        <v>598528.48941085488</v>
      </c>
      <c r="C14" s="285">
        <f>'CUADRO DE EGRESOS E INGRESOS'!Q31</f>
        <v>793359.93761485559</v>
      </c>
      <c r="D14" s="285">
        <f>'CUADRO DE EGRESOS E INGRESOS'!Q44</f>
        <v>937532.29287136532</v>
      </c>
      <c r="E14" s="285">
        <f>'CUADRO DE EGRESOS E INGRESOS'!Q55</f>
        <v>1095960.9182321094</v>
      </c>
      <c r="F14" s="285">
        <f>'CUADRO DE EGRESOS E INGRESOS'!Q67</f>
        <v>1267352.8532194798</v>
      </c>
    </row>
    <row r="15" spans="1:39" ht="15" x14ac:dyDescent="0.2">
      <c r="A15" s="68" t="s">
        <v>248</v>
      </c>
      <c r="B15" s="285">
        <f>'AMORTIZACIONES (4 AÑOS)'!E12*12</f>
        <v>199749.96000000002</v>
      </c>
      <c r="C15" s="285">
        <f>SUM('AMORTIZACIONES (4 AÑOS)'!E21:E32)</f>
        <v>199749.96000000008</v>
      </c>
      <c r="D15" s="285">
        <f>SUM('AMORTIZACIONES (4 AÑOS)'!E33:E44)</f>
        <v>199749.96000000008</v>
      </c>
      <c r="E15" s="285">
        <f>SUM('AMORTIZACIONES (4 AÑOS)'!E45:E56)</f>
        <v>199749.96000000008</v>
      </c>
      <c r="F15" s="285">
        <v>0</v>
      </c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0"/>
    </row>
    <row r="16" spans="1:39" ht="15.75" x14ac:dyDescent="0.25">
      <c r="A16" s="553" t="s">
        <v>278</v>
      </c>
      <c r="B16" s="556">
        <f>B13-B14-B15</f>
        <v>723042.77411628258</v>
      </c>
      <c r="C16" s="561">
        <f>C13-C14-C15</f>
        <v>1015289.9464222811</v>
      </c>
      <c r="D16" s="565">
        <f>D13-D14-D15</f>
        <v>1231548.4793070476</v>
      </c>
      <c r="E16" s="568">
        <f>E13-E14-E15</f>
        <v>1467104.2841793238</v>
      </c>
      <c r="F16" s="572">
        <f>F13-F14-F15</f>
        <v>1926029.2798292204</v>
      </c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</row>
    <row r="17" spans="1:25" ht="15.75" x14ac:dyDescent="0.25">
      <c r="A17" s="553" t="s">
        <v>279</v>
      </c>
      <c r="B17" s="557"/>
      <c r="C17" s="560"/>
      <c r="D17" s="564"/>
      <c r="E17" s="569"/>
      <c r="F17" s="573"/>
    </row>
    <row r="18" spans="1:25" ht="15" x14ac:dyDescent="0.2">
      <c r="A18" s="68" t="s">
        <v>280</v>
      </c>
      <c r="B18" s="73"/>
      <c r="C18" s="74"/>
      <c r="D18" s="73"/>
      <c r="E18" s="73"/>
      <c r="F18" s="73"/>
    </row>
    <row r="19" spans="1:25" ht="15" x14ac:dyDescent="0.2">
      <c r="A19" s="13"/>
      <c r="B19" s="3"/>
      <c r="C19" s="73"/>
      <c r="D19" s="3"/>
      <c r="E19" s="3"/>
      <c r="F19" s="3"/>
      <c r="T19" s="279" t="e">
        <f>T20/T26</f>
        <v>#REF!</v>
      </c>
    </row>
    <row r="20" spans="1:25" ht="15.75" x14ac:dyDescent="0.25">
      <c r="A20" s="13"/>
      <c r="B20" s="3"/>
      <c r="C20" s="75"/>
      <c r="D20" s="3"/>
      <c r="E20" s="3"/>
      <c r="F20" s="3"/>
      <c r="S20" t="s">
        <v>281</v>
      </c>
      <c r="T20" s="279" t="e">
        <f>#REF!</f>
        <v>#REF!</v>
      </c>
      <c r="U20" s="279" t="e">
        <f>#REF!*1.2</f>
        <v>#REF!</v>
      </c>
      <c r="V20" s="279" t="e">
        <f>#REF!*1.3</f>
        <v>#REF!</v>
      </c>
      <c r="W20" s="279" t="e">
        <f>T20/T5</f>
        <v>#REF!</v>
      </c>
    </row>
    <row r="21" spans="1:25" ht="15" x14ac:dyDescent="0.2">
      <c r="A21" s="13"/>
      <c r="B21" s="3"/>
      <c r="C21" s="3"/>
      <c r="D21" s="3"/>
      <c r="E21" s="3"/>
      <c r="F21" s="3"/>
      <c r="S21" t="s">
        <v>282</v>
      </c>
      <c r="T21" s="160" t="e">
        <f>T19*T6</f>
        <v>#REF!</v>
      </c>
      <c r="U21" s="279">
        <f>COSTOS!N29*1.2</f>
        <v>2076453.008967435</v>
      </c>
      <c r="V21" s="279">
        <f>COSTOS!N29*1.3</f>
        <v>2249490.7597147212</v>
      </c>
      <c r="W21" s="279" t="e">
        <f>T6*W20</f>
        <v>#REF!</v>
      </c>
    </row>
    <row r="22" spans="1:25" ht="15.75" x14ac:dyDescent="0.25">
      <c r="A22" s="15" t="s">
        <v>283</v>
      </c>
      <c r="B22" s="334">
        <f>+B16/30</f>
        <v>24101.425803876085</v>
      </c>
      <c r="C22" s="334">
        <f>+C16/30</f>
        <v>33842.998214076033</v>
      </c>
      <c r="D22" s="334">
        <f t="shared" ref="D22:F22" si="0">+D16/30</f>
        <v>41051.615976901587</v>
      </c>
      <c r="E22" s="334">
        <f t="shared" si="0"/>
        <v>48903.476139310791</v>
      </c>
      <c r="F22" s="334">
        <f t="shared" si="0"/>
        <v>64200.975994307344</v>
      </c>
      <c r="S22" t="s">
        <v>284</v>
      </c>
      <c r="T22" s="160" t="e">
        <f>U7</f>
        <v>#REF!</v>
      </c>
      <c r="U22" s="160">
        <f>COSTOS!N33*1.2</f>
        <v>484800.37919999985</v>
      </c>
      <c r="V22" s="160">
        <f>COSTOS!N33*1.3</f>
        <v>525200.41079999984</v>
      </c>
    </row>
    <row r="23" spans="1:25" x14ac:dyDescent="0.2">
      <c r="C23" s="76"/>
    </row>
    <row r="24" spans="1:25" ht="15" x14ac:dyDescent="0.25">
      <c r="A24" s="77"/>
      <c r="C24" s="76"/>
      <c r="W24" s="343" t="s">
        <v>285</v>
      </c>
      <c r="Y24" s="343"/>
    </row>
    <row r="25" spans="1:25" ht="15.75" x14ac:dyDescent="0.25">
      <c r="A25" s="574" t="s">
        <v>286</v>
      </c>
      <c r="B25" s="574"/>
      <c r="C25" s="574"/>
      <c r="D25" s="574"/>
      <c r="S25" t="s">
        <v>287</v>
      </c>
      <c r="T25" s="160">
        <f>'M. DE CALCULO DE GASTOS FIJOS'!E43</f>
        <v>549999.99600000004</v>
      </c>
      <c r="W25" s="343" t="s">
        <v>288</v>
      </c>
      <c r="X25" s="344" t="s">
        <v>289</v>
      </c>
      <c r="Y25" s="343"/>
    </row>
    <row r="26" spans="1:25" x14ac:dyDescent="0.2">
      <c r="C26" s="78"/>
      <c r="S26" t="s">
        <v>290</v>
      </c>
      <c r="T26">
        <f>T5</f>
        <v>97.5</v>
      </c>
      <c r="W26" s="343"/>
      <c r="X26" s="345" t="s">
        <v>291</v>
      </c>
      <c r="Y26" s="343"/>
    </row>
    <row r="27" spans="1:25" ht="15" x14ac:dyDescent="0.25">
      <c r="A27" s="77"/>
      <c r="B27" s="77"/>
      <c r="C27" s="79"/>
      <c r="S27" t="s">
        <v>292</v>
      </c>
      <c r="T27" s="337">
        <f>T6</f>
        <v>48.226797867136632</v>
      </c>
      <c r="X27" s="371" t="s">
        <v>293</v>
      </c>
    </row>
    <row r="28" spans="1:25" x14ac:dyDescent="0.2">
      <c r="C28" s="76"/>
      <c r="S28" t="s">
        <v>294</v>
      </c>
      <c r="T28" s="346">
        <f>$T$25/(1-$T$27/$T$26)</f>
        <v>1088319.7618332612</v>
      </c>
    </row>
    <row r="29" spans="1:25" ht="15" x14ac:dyDescent="0.25">
      <c r="A29" s="77"/>
      <c r="C29" s="76"/>
    </row>
    <row r="30" spans="1:25" x14ac:dyDescent="0.2">
      <c r="C30" s="80"/>
      <c r="W30" s="347" t="s">
        <v>295</v>
      </c>
    </row>
    <row r="31" spans="1:25" ht="15" x14ac:dyDescent="0.25">
      <c r="A31" s="81"/>
      <c r="C31" s="78"/>
      <c r="S31" t="s">
        <v>287</v>
      </c>
      <c r="T31" s="160">
        <f>T25</f>
        <v>549999.99600000004</v>
      </c>
    </row>
    <row r="32" spans="1:25" ht="15" x14ac:dyDescent="0.25">
      <c r="A32" s="77"/>
      <c r="B32" s="77"/>
      <c r="C32" s="79"/>
      <c r="S32" t="s">
        <v>290</v>
      </c>
      <c r="T32">
        <f>T26</f>
        <v>97.5</v>
      </c>
    </row>
    <row r="33" spans="1:24" ht="15" x14ac:dyDescent="0.25">
      <c r="A33" s="77"/>
      <c r="B33" s="77"/>
      <c r="C33" s="79"/>
      <c r="S33" t="s">
        <v>292</v>
      </c>
      <c r="T33" s="337">
        <f>T27</f>
        <v>48.226797867136632</v>
      </c>
    </row>
    <row r="34" spans="1:24" ht="15" x14ac:dyDescent="0.25">
      <c r="A34" s="77"/>
      <c r="B34" s="77"/>
      <c r="C34" s="79"/>
      <c r="S34" t="s">
        <v>296</v>
      </c>
      <c r="T34" s="349">
        <f>$T$31/($T$32-$T$33)</f>
        <v>11162.253967520628</v>
      </c>
      <c r="U34">
        <v>30000</v>
      </c>
    </row>
    <row r="35" spans="1:24" x14ac:dyDescent="0.2">
      <c r="C35" s="76"/>
      <c r="G35" s="82"/>
      <c r="S35" t="s">
        <v>297</v>
      </c>
      <c r="T35" s="346">
        <f>($T$32*U34)-($T$33*U34)-T31</f>
        <v>928196.06798590091</v>
      </c>
    </row>
    <row r="36" spans="1:24" ht="15" x14ac:dyDescent="0.25">
      <c r="A36" s="77"/>
      <c r="C36" s="76"/>
    </row>
    <row r="37" spans="1:24" x14ac:dyDescent="0.2">
      <c r="C37" s="80"/>
      <c r="T37" s="348" t="s">
        <v>20</v>
      </c>
      <c r="U37" s="348" t="s">
        <v>92</v>
      </c>
      <c r="V37" s="348" t="s">
        <v>298</v>
      </c>
      <c r="W37" s="348" t="s">
        <v>299</v>
      </c>
    </row>
    <row r="38" spans="1:24" ht="15" x14ac:dyDescent="0.25">
      <c r="A38" s="81"/>
      <c r="C38" s="78"/>
      <c r="T38" s="351">
        <f>T39-4283</f>
        <v>6879.2539675206281</v>
      </c>
      <c r="U38" s="352">
        <f>$T$32*T38</f>
        <v>670727.26183326123</v>
      </c>
      <c r="V38" s="352">
        <f>$T$31+$T$33*T38</f>
        <v>881764.38656831509</v>
      </c>
      <c r="W38" s="353">
        <f>U38-V38</f>
        <v>-211037.12473505386</v>
      </c>
    </row>
    <row r="39" spans="1:24" ht="15" x14ac:dyDescent="0.25">
      <c r="A39" s="77"/>
      <c r="C39" s="79"/>
      <c r="T39" s="354">
        <f>T34</f>
        <v>11162.253967520628</v>
      </c>
      <c r="U39" s="355">
        <f>$T$32*T39</f>
        <v>1088319.7618332612</v>
      </c>
      <c r="V39" s="355">
        <f>$T$31+$T$33*T39</f>
        <v>1088319.7618332612</v>
      </c>
      <c r="W39" s="356">
        <f>U39-V39</f>
        <v>0</v>
      </c>
    </row>
    <row r="40" spans="1:24" x14ac:dyDescent="0.2">
      <c r="C40" s="76"/>
      <c r="T40" s="351">
        <f>T39+4283</f>
        <v>15445.253967520628</v>
      </c>
      <c r="U40" s="352">
        <f t="shared" ref="U40:U45" si="1">$T$32*T40</f>
        <v>1505912.2618332612</v>
      </c>
      <c r="V40" s="352">
        <f t="shared" ref="V40:V45" si="2">$T$31+$T$33*T40</f>
        <v>1294875.1370982076</v>
      </c>
      <c r="W40" s="353">
        <f t="shared" ref="W40:W45" si="3">U40-V40</f>
        <v>211037.12473505363</v>
      </c>
    </row>
    <row r="41" spans="1:24" ht="15" x14ac:dyDescent="0.25">
      <c r="A41" s="77"/>
      <c r="C41" s="76"/>
      <c r="T41" s="351">
        <f t="shared" ref="T41:T45" si="4">T40+4283</f>
        <v>19728.253967520628</v>
      </c>
      <c r="U41" s="352">
        <f t="shared" si="1"/>
        <v>1923504.7618332612</v>
      </c>
      <c r="V41" s="352">
        <f t="shared" si="2"/>
        <v>1501430.5123631535</v>
      </c>
      <c r="W41" s="353">
        <f t="shared" si="3"/>
        <v>422074.24947010772</v>
      </c>
    </row>
    <row r="42" spans="1:24" x14ac:dyDescent="0.2">
      <c r="C42" s="80"/>
      <c r="T42" s="351">
        <f t="shared" si="4"/>
        <v>24011.253967520628</v>
      </c>
      <c r="U42" s="352">
        <f t="shared" si="1"/>
        <v>2341097.2618332612</v>
      </c>
      <c r="V42" s="352">
        <f t="shared" si="2"/>
        <v>1707985.8876280999</v>
      </c>
      <c r="W42" s="353">
        <f t="shared" si="3"/>
        <v>633111.37420516135</v>
      </c>
      <c r="X42" s="366"/>
    </row>
    <row r="43" spans="1:24" x14ac:dyDescent="0.2">
      <c r="C43" s="78"/>
      <c r="T43" s="351">
        <f t="shared" si="4"/>
        <v>28294.253967520628</v>
      </c>
      <c r="U43" s="352">
        <f t="shared" si="1"/>
        <v>2758689.7618332612</v>
      </c>
      <c r="V43" s="352">
        <f t="shared" si="2"/>
        <v>1914541.262893046</v>
      </c>
      <c r="W43" s="353">
        <f t="shared" si="3"/>
        <v>844148.49894021521</v>
      </c>
      <c r="X43" s="366"/>
    </row>
    <row r="44" spans="1:24" ht="15" x14ac:dyDescent="0.25">
      <c r="A44" s="77"/>
      <c r="C44" s="79"/>
      <c r="T44" s="351">
        <f t="shared" si="4"/>
        <v>32577.253967520628</v>
      </c>
      <c r="U44" s="352">
        <f t="shared" si="1"/>
        <v>3176282.2618332612</v>
      </c>
      <c r="V44" s="352">
        <f t="shared" si="2"/>
        <v>2121096.6381579922</v>
      </c>
      <c r="W44" s="353">
        <f t="shared" si="3"/>
        <v>1055185.6236752691</v>
      </c>
      <c r="X44" s="366"/>
    </row>
    <row r="45" spans="1:24" x14ac:dyDescent="0.2">
      <c r="C45" s="76"/>
      <c r="D45" s="371"/>
      <c r="T45" s="351">
        <f t="shared" si="4"/>
        <v>36860.253967520628</v>
      </c>
      <c r="U45" s="352">
        <f t="shared" si="1"/>
        <v>3593874.7618332612</v>
      </c>
      <c r="V45" s="352">
        <f t="shared" si="2"/>
        <v>2327652.0134229385</v>
      </c>
      <c r="W45" s="353">
        <f t="shared" si="3"/>
        <v>1266222.7484103227</v>
      </c>
      <c r="X45" s="366"/>
    </row>
    <row r="46" spans="1:24" ht="15" x14ac:dyDescent="0.25">
      <c r="A46" s="77"/>
      <c r="C46" s="76"/>
      <c r="T46" s="350"/>
      <c r="U46" s="346"/>
      <c r="V46" s="346"/>
      <c r="W46" s="279"/>
      <c r="X46" s="366"/>
    </row>
    <row r="47" spans="1:24" x14ac:dyDescent="0.2">
      <c r="C47" s="80"/>
      <c r="T47" s="350"/>
      <c r="U47" s="346"/>
      <c r="V47" s="346"/>
      <c r="W47" s="279"/>
    </row>
    <row r="48" spans="1:24" x14ac:dyDescent="0.2">
      <c r="C48" s="78"/>
      <c r="T48" s="350"/>
      <c r="U48" s="346"/>
      <c r="V48" s="346"/>
      <c r="W48" s="279"/>
    </row>
    <row r="49" spans="1:5" ht="15" x14ac:dyDescent="0.25">
      <c r="C49" s="79"/>
    </row>
    <row r="50" spans="1:5" ht="15" x14ac:dyDescent="0.25">
      <c r="C50" s="79"/>
    </row>
    <row r="51" spans="1:5" ht="15" x14ac:dyDescent="0.25">
      <c r="C51" s="79"/>
    </row>
    <row r="52" spans="1:5" x14ac:dyDescent="0.2">
      <c r="C52" s="76"/>
    </row>
    <row r="53" spans="1:5" ht="15" x14ac:dyDescent="0.25">
      <c r="A53" s="77"/>
      <c r="C53" s="76"/>
    </row>
    <row r="54" spans="1:5" x14ac:dyDescent="0.2">
      <c r="C54" s="78"/>
    </row>
    <row r="55" spans="1:5" x14ac:dyDescent="0.2">
      <c r="C55" s="78"/>
    </row>
    <row r="56" spans="1:5" ht="15" x14ac:dyDescent="0.25">
      <c r="A56" s="77"/>
      <c r="C56" s="79"/>
      <c r="D56" s="83"/>
      <c r="E56" s="83"/>
    </row>
    <row r="57" spans="1:5" x14ac:dyDescent="0.2">
      <c r="C57" s="76"/>
      <c r="D57" s="371"/>
    </row>
    <row r="58" spans="1:5" ht="15" x14ac:dyDescent="0.25">
      <c r="A58" s="77"/>
      <c r="C58" s="76"/>
    </row>
    <row r="59" spans="1:5" ht="15" x14ac:dyDescent="0.25">
      <c r="C59" s="84"/>
    </row>
    <row r="60" spans="1:5" ht="15" x14ac:dyDescent="0.25">
      <c r="A60" s="81"/>
      <c r="C60" s="80"/>
    </row>
    <row r="61" spans="1:5" ht="15" x14ac:dyDescent="0.25">
      <c r="A61" s="77"/>
      <c r="C61" s="79"/>
      <c r="D61" s="83"/>
      <c r="E61" s="83"/>
    </row>
  </sheetData>
  <mergeCells count="1">
    <mergeCell ref="A25:D25"/>
  </mergeCells>
  <pageMargins left="0.56000000000000005" right="0.68" top="0.59" bottom="0.62" header="0" footer="0"/>
  <pageSetup orientation="landscape" horizontalDpi="300" verticalDpi="300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DE70-8F62-465F-AC16-42602948DAE2}">
  <dimension ref="A1:J55"/>
  <sheetViews>
    <sheetView topLeftCell="A15" zoomScale="93" zoomScaleNormal="85" workbookViewId="0">
      <selection activeCell="L24" sqref="L24"/>
    </sheetView>
    <sheetView zoomScale="73" zoomScaleNormal="100" workbookViewId="1">
      <selection activeCell="K8" sqref="K8"/>
    </sheetView>
  </sheetViews>
  <sheetFormatPr baseColWidth="10" defaultColWidth="11.42578125" defaultRowHeight="12.75" x14ac:dyDescent="0.2"/>
  <cols>
    <col min="1" max="1" width="22.42578125" customWidth="1"/>
    <col min="2" max="2" width="21.42578125" customWidth="1"/>
    <col min="3" max="10" width="16.7109375" bestFit="1" customWidth="1"/>
  </cols>
  <sheetData>
    <row r="1" spans="1:10" ht="20.25" x14ac:dyDescent="0.3">
      <c r="A1" s="46" t="s">
        <v>300</v>
      </c>
    </row>
    <row r="2" spans="1:10" ht="18" x14ac:dyDescent="0.25">
      <c r="A2" s="1"/>
    </row>
    <row r="3" spans="1:10" ht="18" x14ac:dyDescent="0.25">
      <c r="A3" s="47" t="s">
        <v>65</v>
      </c>
      <c r="B3" s="2"/>
      <c r="C3" s="2"/>
      <c r="D3" s="2"/>
      <c r="E3" s="2"/>
      <c r="F3" s="48"/>
    </row>
    <row r="4" spans="1:10" ht="18" x14ac:dyDescent="0.25">
      <c r="A4" s="47" t="s">
        <v>66</v>
      </c>
      <c r="B4" s="2"/>
      <c r="C4" s="2"/>
      <c r="D4" s="2"/>
      <c r="E4" s="2"/>
      <c r="F4" s="48"/>
    </row>
    <row r="5" spans="1:10" ht="18" x14ac:dyDescent="0.25">
      <c r="A5" s="47" t="s">
        <v>67</v>
      </c>
      <c r="B5" s="2"/>
      <c r="C5" s="368"/>
      <c r="D5" s="368"/>
      <c r="E5" s="2"/>
      <c r="F5" s="49"/>
    </row>
    <row r="6" spans="1:10" ht="18" x14ac:dyDescent="0.25">
      <c r="A6" s="550" t="s">
        <v>301</v>
      </c>
      <c r="B6" s="550"/>
      <c r="C6" s="550"/>
      <c r="D6" s="550"/>
      <c r="E6" s="550"/>
      <c r="F6" s="550"/>
      <c r="G6" s="550"/>
      <c r="H6" s="550"/>
      <c r="I6" s="550"/>
      <c r="J6" s="551"/>
    </row>
    <row r="7" spans="1:10" ht="15" x14ac:dyDescent="0.2">
      <c r="A7" s="3"/>
      <c r="B7" s="3"/>
      <c r="C7" s="453" t="s">
        <v>302</v>
      </c>
      <c r="D7" s="454"/>
      <c r="E7" s="454"/>
      <c r="F7" s="455"/>
      <c r="G7" s="456" t="s">
        <v>303</v>
      </c>
      <c r="H7" s="456"/>
      <c r="I7" s="456"/>
      <c r="J7" s="456"/>
    </row>
    <row r="8" spans="1:10" ht="15.75" x14ac:dyDescent="0.25">
      <c r="A8" s="4" t="s">
        <v>70</v>
      </c>
      <c r="B8" s="370" t="s">
        <v>304</v>
      </c>
      <c r="C8" s="50">
        <v>0.05</v>
      </c>
      <c r="D8" s="51">
        <v>0.1</v>
      </c>
      <c r="E8" s="51">
        <v>0.15</v>
      </c>
      <c r="F8" s="51">
        <v>0.2</v>
      </c>
      <c r="G8" s="52">
        <v>0.05</v>
      </c>
      <c r="H8" s="52">
        <v>0.1</v>
      </c>
      <c r="I8" s="52">
        <v>0.15</v>
      </c>
      <c r="J8" s="52">
        <v>0.2</v>
      </c>
    </row>
    <row r="9" spans="1:10" ht="15" x14ac:dyDescent="0.2">
      <c r="A9" s="3" t="s">
        <v>92</v>
      </c>
      <c r="B9" s="53">
        <f>'PROYECCIONES EGRESOS E INGRESOS'!$B$7</f>
        <v>3655699.0469999998</v>
      </c>
      <c r="C9" s="53">
        <f>'PROYECCIONES EGRESOS E INGRESOS'!$B$7*1.05</f>
        <v>3838483.9993499997</v>
      </c>
      <c r="D9" s="53">
        <f>'PROYECCIONES EGRESOS E INGRESOS'!$B$7*1.1</f>
        <v>4021268.9517000001</v>
      </c>
      <c r="E9" s="53">
        <f>'PROYECCIONES EGRESOS E INGRESOS'!$B$7*1.15</f>
        <v>4204053.9040499991</v>
      </c>
      <c r="F9" s="53">
        <f>'PROYECCIONES EGRESOS E INGRESOS'!$B$7*1.2</f>
        <v>4386838.8563999999</v>
      </c>
      <c r="G9" s="53">
        <f>'PROYECCIONES EGRESOS E INGRESOS'!$B$7</f>
        <v>3655699.0469999998</v>
      </c>
      <c r="H9" s="53">
        <f>'PROYECCIONES EGRESOS E INGRESOS'!$B$7</f>
        <v>3655699.0469999998</v>
      </c>
      <c r="I9" s="53">
        <f>'PROYECCIONES EGRESOS E INGRESOS'!$B$7</f>
        <v>3655699.0469999998</v>
      </c>
      <c r="J9" s="53">
        <f>'PROYECCIONES EGRESOS E INGRESOS'!$B$7</f>
        <v>3655699.0469999998</v>
      </c>
    </row>
    <row r="10" spans="1:10" ht="15" x14ac:dyDescent="0.2">
      <c r="A10" s="3" t="s">
        <v>298</v>
      </c>
      <c r="B10" s="53">
        <f>'PROYECCIONES EGRESOS E INGRESOS'!$B$10+'PROYECCIONES EGRESOS E INGRESOS'!$B$11</f>
        <v>2134377.8234728621</v>
      </c>
      <c r="C10" s="53">
        <f>'PROYECCIONES EGRESOS E INGRESOS'!$B$10+'PROYECCIONES EGRESOS E INGRESOS'!$B$11</f>
        <v>2134377.8234728621</v>
      </c>
      <c r="D10" s="53">
        <f>'PROYECCIONES EGRESOS E INGRESOS'!$B$10+'PROYECCIONES EGRESOS E INGRESOS'!$B$11</f>
        <v>2134377.8234728621</v>
      </c>
      <c r="E10" s="53">
        <f>'PROYECCIONES EGRESOS E INGRESOS'!$B$10+'PROYECCIONES EGRESOS E INGRESOS'!$B$11</f>
        <v>2134377.8234728621</v>
      </c>
      <c r="F10" s="53">
        <f>'PROYECCIONES EGRESOS E INGRESOS'!$B$10+'PROYECCIONES EGRESOS E INGRESOS'!$B$11</f>
        <v>2134377.8234728621</v>
      </c>
      <c r="G10" s="53">
        <f>'PROYECCIONES EGRESOS E INGRESOS'!$B$10+'PROYECCIONES EGRESOS E INGRESOS'!$B$11*1.05</f>
        <v>2154577.8392728623</v>
      </c>
      <c r="H10" s="53">
        <f>'PROYECCIONES EGRESOS E INGRESOS'!$B$10+'PROYECCIONES EGRESOS E INGRESOS'!$B$11*1.1</f>
        <v>2174777.8550728625</v>
      </c>
      <c r="I10" s="53">
        <f>'PROYECCIONES EGRESOS E INGRESOS'!$B$10+'PROYECCIONES EGRESOS E INGRESOS'!$B$11*1.15</f>
        <v>2194977.8708728622</v>
      </c>
      <c r="J10" s="53">
        <f>'PROYECCIONES EGRESOS E INGRESOS'!$B$10+'PROYECCIONES EGRESOS E INGRESOS'!$B$11*1.2</f>
        <v>2215177.8866728623</v>
      </c>
    </row>
    <row r="11" spans="1:10" ht="15.75" x14ac:dyDescent="0.25">
      <c r="A11" s="3" t="s">
        <v>28</v>
      </c>
      <c r="B11" s="55">
        <f>SUM(B9-B10)</f>
        <v>1521321.2235271377</v>
      </c>
      <c r="C11" s="56">
        <f>C9-C10</f>
        <v>1704106.1758771376</v>
      </c>
      <c r="D11" s="56">
        <f t="shared" ref="D11:J11" si="0">D9-D10</f>
        <v>1886891.128227138</v>
      </c>
      <c r="E11" s="56">
        <f t="shared" si="0"/>
        <v>2069676.0805771369</v>
      </c>
      <c r="F11" s="56">
        <f t="shared" si="0"/>
        <v>2252461.0329271378</v>
      </c>
      <c r="G11" s="57">
        <f t="shared" si="0"/>
        <v>1501121.2077271375</v>
      </c>
      <c r="H11" s="57">
        <f t="shared" si="0"/>
        <v>1480921.1919271373</v>
      </c>
      <c r="I11" s="57">
        <f t="shared" si="0"/>
        <v>1460721.1761271376</v>
      </c>
      <c r="J11" s="57">
        <f t="shared" si="0"/>
        <v>1440521.1603271374</v>
      </c>
    </row>
    <row r="12" spans="1:10" ht="15" x14ac:dyDescent="0.2">
      <c r="A12" s="58"/>
      <c r="B12" s="18"/>
      <c r="C12" s="18"/>
      <c r="D12" s="18"/>
      <c r="E12" s="18"/>
      <c r="F12" s="18"/>
      <c r="G12" s="18"/>
      <c r="H12" s="18"/>
      <c r="I12" s="18"/>
      <c r="J12" s="62"/>
    </row>
    <row r="13" spans="1:10" ht="15.75" x14ac:dyDescent="0.25">
      <c r="A13" s="59" t="s">
        <v>305</v>
      </c>
      <c r="B13" s="60">
        <f>+B9/B10</f>
        <v>1.7127703477783445</v>
      </c>
      <c r="C13" s="60">
        <f t="shared" ref="C13:J13" si="1">+C9/C10</f>
        <v>1.7984088651672616</v>
      </c>
      <c r="D13" s="60">
        <f t="shared" si="1"/>
        <v>1.884047382556179</v>
      </c>
      <c r="E13" s="60">
        <f t="shared" si="1"/>
        <v>1.9696858999450957</v>
      </c>
      <c r="F13" s="60">
        <f t="shared" si="1"/>
        <v>2.0553244173340133</v>
      </c>
      <c r="G13" s="60">
        <f t="shared" si="1"/>
        <v>1.6967124512121332</v>
      </c>
      <c r="H13" s="60">
        <f t="shared" si="1"/>
        <v>1.680952856160806</v>
      </c>
      <c r="I13" s="60">
        <f t="shared" si="1"/>
        <v>1.6654833269668738</v>
      </c>
      <c r="J13" s="63">
        <f t="shared" si="1"/>
        <v>1.6502959283738434</v>
      </c>
    </row>
    <row r="14" spans="1:10" ht="15.75" x14ac:dyDescent="0.25">
      <c r="A14" s="14"/>
      <c r="B14" s="61"/>
      <c r="C14" s="61"/>
      <c r="D14" s="61"/>
      <c r="E14" s="61"/>
      <c r="F14" s="61"/>
      <c r="G14" s="19"/>
      <c r="H14" s="19"/>
      <c r="I14" s="19"/>
      <c r="J14" s="64"/>
    </row>
    <row r="15" spans="1:10" ht="18" x14ac:dyDescent="0.25">
      <c r="A15" s="590" t="s">
        <v>306</v>
      </c>
      <c r="B15" s="590"/>
      <c r="C15" s="590"/>
      <c r="D15" s="590"/>
      <c r="E15" s="590"/>
      <c r="F15" s="590"/>
      <c r="G15" s="590"/>
      <c r="H15" s="590"/>
      <c r="I15" s="590"/>
      <c r="J15" s="591"/>
    </row>
    <row r="16" spans="1:10" ht="15" x14ac:dyDescent="0.2">
      <c r="A16" s="3"/>
      <c r="B16" s="3"/>
      <c r="C16" s="453" t="s">
        <v>302</v>
      </c>
      <c r="D16" s="454"/>
      <c r="E16" s="454"/>
      <c r="F16" s="455"/>
      <c r="G16" s="456" t="s">
        <v>303</v>
      </c>
      <c r="H16" s="456"/>
      <c r="I16" s="456"/>
      <c r="J16" s="456"/>
    </row>
    <row r="17" spans="1:10" ht="15.75" x14ac:dyDescent="0.25">
      <c r="A17" s="4" t="s">
        <v>70</v>
      </c>
      <c r="B17" s="370" t="s">
        <v>304</v>
      </c>
      <c r="C17" s="50">
        <v>0.05</v>
      </c>
      <c r="D17" s="51">
        <v>0.1</v>
      </c>
      <c r="E17" s="51">
        <v>0.15</v>
      </c>
      <c r="F17" s="51">
        <v>0.2</v>
      </c>
      <c r="G17" s="52">
        <v>0.05</v>
      </c>
      <c r="H17" s="52">
        <v>0.1</v>
      </c>
      <c r="I17" s="52">
        <v>0.15</v>
      </c>
      <c r="J17" s="52">
        <v>0.2</v>
      </c>
    </row>
    <row r="18" spans="1:10" ht="15" x14ac:dyDescent="0.2">
      <c r="A18" s="3" t="s">
        <v>92</v>
      </c>
      <c r="B18" s="53">
        <f>'PROYECCIONES EGRESOS E INGRESOS'!$C$7</f>
        <v>4156302.4284599992</v>
      </c>
      <c r="C18" s="54">
        <f>'PROYECCIONES EGRESOS E INGRESOS'!$C$7*1.05</f>
        <v>4364117.5498829996</v>
      </c>
      <c r="D18" s="54">
        <f>'PROYECCIONES EGRESOS E INGRESOS'!$C$7*1.1</f>
        <v>4571932.6713059992</v>
      </c>
      <c r="E18" s="54">
        <f>'PROYECCIONES EGRESOS E INGRESOS'!$C$7*1.15</f>
        <v>4779747.7927289987</v>
      </c>
      <c r="F18" s="54">
        <f>'PROYECCIONES EGRESOS E INGRESOS'!$C$7*1.2</f>
        <v>4987562.9141519992</v>
      </c>
      <c r="G18" s="54">
        <f>'PROYECCIONES EGRESOS E INGRESOS'!$C$7</f>
        <v>4156302.4284599992</v>
      </c>
      <c r="H18" s="54">
        <f>'PROYECCIONES EGRESOS E INGRESOS'!$C$7</f>
        <v>4156302.4284599992</v>
      </c>
      <c r="I18" s="54">
        <f>'PROYECCIONES EGRESOS E INGRESOS'!$C$7</f>
        <v>4156302.4284599992</v>
      </c>
      <c r="J18" s="54">
        <f>'PROYECCIONES EGRESOS E INGRESOS'!$C$7</f>
        <v>4156302.4284599992</v>
      </c>
    </row>
    <row r="19" spans="1:10" ht="15" x14ac:dyDescent="0.2">
      <c r="A19" s="3" t="s">
        <v>298</v>
      </c>
      <c r="B19" s="53">
        <f>'PROYECCIONES EGRESOS E INGRESOS'!C14+'PROYECCIONES EGRESOS E INGRESOS'!$C$15</f>
        <v>993109.89761485567</v>
      </c>
      <c r="C19" s="53">
        <f t="shared" ref="C19:F19" si="2">$B$19</f>
        <v>993109.89761485567</v>
      </c>
      <c r="D19" s="53">
        <f t="shared" si="2"/>
        <v>993109.89761485567</v>
      </c>
      <c r="E19" s="53">
        <f t="shared" si="2"/>
        <v>993109.89761485567</v>
      </c>
      <c r="F19" s="53">
        <f t="shared" si="2"/>
        <v>993109.89761485567</v>
      </c>
      <c r="G19" s="53">
        <f>$B$19*1.05</f>
        <v>1042765.3924955985</v>
      </c>
      <c r="H19" s="53">
        <f>$B$19*1.1</f>
        <v>1092420.8873763413</v>
      </c>
      <c r="I19" s="53">
        <f>$B$19*1.15</f>
        <v>1142076.3822570839</v>
      </c>
      <c r="J19" s="53">
        <f>$B$19*1.2</f>
        <v>1191731.8771378268</v>
      </c>
    </row>
    <row r="20" spans="1:10" ht="15.75" x14ac:dyDescent="0.25">
      <c r="A20" s="3" t="s">
        <v>28</v>
      </c>
      <c r="B20" s="55">
        <f>SUM(B18-B19)</f>
        <v>3163192.5308451434</v>
      </c>
      <c r="C20" s="56">
        <f t="shared" ref="C20:J20" si="3">C18-C19</f>
        <v>3371007.6522681438</v>
      </c>
      <c r="D20" s="56">
        <f t="shared" si="3"/>
        <v>3578822.7736911434</v>
      </c>
      <c r="E20" s="56">
        <f t="shared" si="3"/>
        <v>3786637.8951141429</v>
      </c>
      <c r="F20" s="56">
        <f t="shared" si="3"/>
        <v>3994453.0165371434</v>
      </c>
      <c r="G20" s="57">
        <f t="shared" si="3"/>
        <v>3113537.0359644005</v>
      </c>
      <c r="H20" s="57">
        <f t="shared" si="3"/>
        <v>3063881.5410836581</v>
      </c>
      <c r="I20" s="57">
        <f t="shared" si="3"/>
        <v>3014226.0462029153</v>
      </c>
      <c r="J20" s="57">
        <f t="shared" si="3"/>
        <v>2964570.5513221724</v>
      </c>
    </row>
    <row r="21" spans="1:10" ht="15" x14ac:dyDescent="0.2">
      <c r="A21" s="58"/>
      <c r="B21" s="18"/>
      <c r="C21" s="18"/>
      <c r="D21" s="18"/>
      <c r="E21" s="18"/>
      <c r="F21" s="18"/>
      <c r="G21" s="18"/>
      <c r="H21" s="18"/>
      <c r="I21" s="18"/>
      <c r="J21" s="62"/>
    </row>
    <row r="22" spans="1:10" ht="15.75" x14ac:dyDescent="0.25">
      <c r="A22" s="59" t="s">
        <v>305</v>
      </c>
      <c r="B22" s="60">
        <f>+B18/B19</f>
        <v>4.185138460951964</v>
      </c>
      <c r="C22" s="60">
        <f t="shared" ref="C22:J22" si="4">+C18/C19</f>
        <v>4.3943953839995622</v>
      </c>
      <c r="D22" s="60">
        <f t="shared" si="4"/>
        <v>4.6036523070471604</v>
      </c>
      <c r="E22" s="60">
        <f t="shared" si="4"/>
        <v>4.8129092300947578</v>
      </c>
      <c r="F22" s="60">
        <f t="shared" si="4"/>
        <v>5.022166153142356</v>
      </c>
      <c r="G22" s="60">
        <f>+G18/G19</f>
        <v>3.985846153287584</v>
      </c>
      <c r="H22" s="60">
        <f t="shared" si="4"/>
        <v>3.8046713281381486</v>
      </c>
      <c r="I22" s="60">
        <f t="shared" si="4"/>
        <v>3.6392508356104036</v>
      </c>
      <c r="J22" s="63">
        <f t="shared" si="4"/>
        <v>3.4876153841266366</v>
      </c>
    </row>
    <row r="23" spans="1:10" ht="15.75" x14ac:dyDescent="0.25">
      <c r="A23" s="2"/>
      <c r="B23" s="13"/>
      <c r="C23" s="13"/>
      <c r="D23" s="13"/>
      <c r="E23" s="13"/>
      <c r="F23" s="13"/>
      <c r="G23" s="13"/>
      <c r="H23" s="13"/>
      <c r="I23" s="13"/>
      <c r="J23" s="13"/>
    </row>
    <row r="24" spans="1:10" ht="15.75" x14ac:dyDescent="0.25">
      <c r="A24" s="2"/>
      <c r="B24" s="13"/>
      <c r="C24" s="13"/>
      <c r="D24" s="13"/>
      <c r="E24" s="13"/>
      <c r="F24" s="13"/>
      <c r="G24" s="13"/>
      <c r="H24" s="13"/>
      <c r="I24" s="13"/>
      <c r="J24" s="13"/>
    </row>
    <row r="25" spans="1:10" ht="18" x14ac:dyDescent="0.25">
      <c r="A25" s="584" t="s">
        <v>307</v>
      </c>
      <c r="B25" s="584"/>
      <c r="C25" s="584"/>
      <c r="D25" s="584"/>
      <c r="E25" s="584"/>
      <c r="F25" s="584"/>
      <c r="G25" s="584"/>
      <c r="H25" s="584"/>
      <c r="I25" s="584"/>
      <c r="J25" s="585"/>
    </row>
    <row r="26" spans="1:10" ht="15" x14ac:dyDescent="0.2">
      <c r="A26" s="3"/>
      <c r="B26" s="3"/>
      <c r="C26" s="453" t="s">
        <v>302</v>
      </c>
      <c r="D26" s="454"/>
      <c r="E26" s="454"/>
      <c r="F26" s="455"/>
      <c r="G26" s="456" t="s">
        <v>303</v>
      </c>
      <c r="H26" s="456"/>
      <c r="I26" s="456"/>
      <c r="J26" s="456"/>
    </row>
    <row r="27" spans="1:10" ht="15.75" x14ac:dyDescent="0.25">
      <c r="A27" s="4" t="s">
        <v>70</v>
      </c>
      <c r="B27" s="370" t="s">
        <v>304</v>
      </c>
      <c r="C27" s="50">
        <v>0.05</v>
      </c>
      <c r="D27" s="51">
        <v>0.1</v>
      </c>
      <c r="E27" s="51">
        <v>0.15</v>
      </c>
      <c r="F27" s="51">
        <v>0.2</v>
      </c>
      <c r="G27" s="52">
        <v>0.05</v>
      </c>
      <c r="H27" s="52">
        <v>0.1</v>
      </c>
      <c r="I27" s="52">
        <v>0.15</v>
      </c>
      <c r="J27" s="52">
        <v>0.2</v>
      </c>
    </row>
    <row r="28" spans="1:10" ht="15" x14ac:dyDescent="0.2">
      <c r="A28" s="3" t="s">
        <v>92</v>
      </c>
      <c r="B28" s="53">
        <f>'PROYECCIONES EGRESOS E INGRESOS'!$D$7</f>
        <v>4530369.6470213998</v>
      </c>
      <c r="C28" s="53">
        <f>'PROYECCIONES EGRESOS E INGRESOS'!$D$7*1.05</f>
        <v>4756888.1293724701</v>
      </c>
      <c r="D28" s="53">
        <f>'PROYECCIONES EGRESOS E INGRESOS'!$D$7*1.1</f>
        <v>4983406.6117235404</v>
      </c>
      <c r="E28" s="53">
        <f>'PROYECCIONES EGRESOS E INGRESOS'!$D$7*1.15</f>
        <v>5209925.0940746097</v>
      </c>
      <c r="F28" s="53">
        <f>'PROYECCIONES EGRESOS E INGRESOS'!$D$7*1.2</f>
        <v>5436443.57642568</v>
      </c>
      <c r="G28" s="53">
        <f>'PROYECCIONES EGRESOS E INGRESOS'!$D$7</f>
        <v>4530369.6470213998</v>
      </c>
      <c r="H28" s="53">
        <f>'PROYECCIONES EGRESOS E INGRESOS'!$D$7</f>
        <v>4530369.6470213998</v>
      </c>
      <c r="I28" s="53">
        <f>'PROYECCIONES EGRESOS E INGRESOS'!$D$7</f>
        <v>4530369.6470213998</v>
      </c>
      <c r="J28" s="53">
        <f>'PROYECCIONES EGRESOS E INGRESOS'!$D$7</f>
        <v>4530369.6470213998</v>
      </c>
    </row>
    <row r="29" spans="1:10" ht="15" x14ac:dyDescent="0.2">
      <c r="A29" s="3" t="s">
        <v>298</v>
      </c>
      <c r="B29" s="53">
        <f>'PROYECCIONES EGRESOS E INGRESOS'!$D$10+'PROYECCIONES EGRESOS E INGRESOS'!$D$11</f>
        <v>2161538.914842987</v>
      </c>
      <c r="C29" s="53">
        <f>'PROYECCIONES EGRESOS E INGRESOS'!$D$10+'PROYECCIONES EGRESOS E INGRESOS'!$D$11</f>
        <v>2161538.914842987</v>
      </c>
      <c r="D29" s="53">
        <f>'PROYECCIONES EGRESOS E INGRESOS'!$D$10+'PROYECCIONES EGRESOS E INGRESOS'!$D$11</f>
        <v>2161538.914842987</v>
      </c>
      <c r="E29" s="53">
        <f>'PROYECCIONES EGRESOS E INGRESOS'!$D$10+'PROYECCIONES EGRESOS E INGRESOS'!$D$11</f>
        <v>2161538.914842987</v>
      </c>
      <c r="F29" s="53">
        <f>'PROYECCIONES EGRESOS E INGRESOS'!$D$10+'PROYECCIONES EGRESOS E INGRESOS'!$D$11</f>
        <v>2161538.914842987</v>
      </c>
      <c r="G29" s="53">
        <f>('PROYECCIONES EGRESOS E INGRESOS'!$D$10+'PROYECCIONES EGRESOS E INGRESOS'!$D$11)*1.05</f>
        <v>2269615.8605851363</v>
      </c>
      <c r="H29" s="53">
        <f>('PROYECCIONES EGRESOS E INGRESOS'!$D$10+'PROYECCIONES EGRESOS E INGRESOS'!$D$11)*1.1</f>
        <v>2377692.8063272857</v>
      </c>
      <c r="I29" s="53">
        <f>('PROYECCIONES EGRESOS E INGRESOS'!$D$10+'PROYECCIONES EGRESOS E INGRESOS'!$D$11)*1.15</f>
        <v>2485769.7520694346</v>
      </c>
      <c r="J29" s="53">
        <f>('PROYECCIONES EGRESOS E INGRESOS'!$D$10+'PROYECCIONES EGRESOS E INGRESOS'!$D$11)*1.2</f>
        <v>2593846.6978115845</v>
      </c>
    </row>
    <row r="30" spans="1:10" ht="15.75" x14ac:dyDescent="0.25">
      <c r="A30" s="3" t="s">
        <v>28</v>
      </c>
      <c r="B30" s="55">
        <f>SUM(B28-B29)</f>
        <v>2368830.7321784128</v>
      </c>
      <c r="C30" s="56">
        <f t="shared" ref="C30:J30" si="5">C28-C29</f>
        <v>2595349.2145294831</v>
      </c>
      <c r="D30" s="56">
        <f t="shared" si="5"/>
        <v>2821867.6968805534</v>
      </c>
      <c r="E30" s="56">
        <f t="shared" si="5"/>
        <v>3048386.1792316227</v>
      </c>
      <c r="F30" s="56">
        <f t="shared" si="5"/>
        <v>3274904.661582693</v>
      </c>
      <c r="G30" s="57">
        <f t="shared" si="5"/>
        <v>2260753.7864362635</v>
      </c>
      <c r="H30" s="57">
        <f t="shared" si="5"/>
        <v>2152676.8406941141</v>
      </c>
      <c r="I30" s="57">
        <f t="shared" si="5"/>
        <v>2044599.8949519652</v>
      </c>
      <c r="J30" s="57">
        <f t="shared" si="5"/>
        <v>1936522.9492098154</v>
      </c>
    </row>
    <row r="31" spans="1:10" ht="15" x14ac:dyDescent="0.2">
      <c r="A31" s="58"/>
      <c r="B31" s="18"/>
      <c r="C31" s="18"/>
      <c r="D31" s="18"/>
      <c r="E31" s="18"/>
      <c r="F31" s="18"/>
      <c r="G31" s="18"/>
      <c r="H31" s="18"/>
      <c r="I31" s="18"/>
      <c r="J31" s="62"/>
    </row>
    <row r="32" spans="1:10" ht="15.75" x14ac:dyDescent="0.25">
      <c r="A32" s="59" t="s">
        <v>305</v>
      </c>
      <c r="B32" s="60">
        <f>+B28/B29</f>
        <v>2.0959001089048095</v>
      </c>
      <c r="C32" s="60">
        <f t="shared" ref="C32:J32" si="6">+C28/C29</f>
        <v>2.2006951143500499</v>
      </c>
      <c r="D32" s="60">
        <f t="shared" si="6"/>
        <v>2.3054901197952904</v>
      </c>
      <c r="E32" s="60">
        <f t="shared" si="6"/>
        <v>2.4102851252405308</v>
      </c>
      <c r="F32" s="60">
        <f t="shared" si="6"/>
        <v>2.5150801306857713</v>
      </c>
      <c r="G32" s="60">
        <f t="shared" si="6"/>
        <v>1.9960953418141041</v>
      </c>
      <c r="H32" s="60">
        <f t="shared" si="6"/>
        <v>1.9053637353680084</v>
      </c>
      <c r="I32" s="60">
        <f t="shared" si="6"/>
        <v>1.8225218338302693</v>
      </c>
      <c r="J32" s="63">
        <f t="shared" si="6"/>
        <v>1.746583424087341</v>
      </c>
    </row>
    <row r="33" spans="1:10" ht="15.75" x14ac:dyDescent="0.25">
      <c r="A33" s="14"/>
      <c r="B33" s="61"/>
      <c r="C33" s="61"/>
      <c r="D33" s="61"/>
      <c r="E33" s="61"/>
      <c r="F33" s="61"/>
      <c r="G33" s="19"/>
      <c r="H33" s="19"/>
      <c r="I33" s="19"/>
      <c r="J33" s="64"/>
    </row>
    <row r="34" spans="1:10" ht="15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10" ht="15.75" x14ac:dyDescent="0.25">
      <c r="A35" s="2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8" x14ac:dyDescent="0.25">
      <c r="A36" s="586" t="s">
        <v>308</v>
      </c>
      <c r="B36" s="586"/>
      <c r="C36" s="586"/>
      <c r="D36" s="586"/>
      <c r="E36" s="586"/>
      <c r="F36" s="586"/>
      <c r="G36" s="586"/>
      <c r="H36" s="586"/>
      <c r="I36" s="586"/>
      <c r="J36" s="587"/>
    </row>
    <row r="37" spans="1:10" ht="15" x14ac:dyDescent="0.2">
      <c r="A37" s="3"/>
      <c r="B37" s="3"/>
      <c r="C37" s="453" t="s">
        <v>302</v>
      </c>
      <c r="D37" s="454"/>
      <c r="E37" s="454"/>
      <c r="F37" s="455"/>
      <c r="G37" s="456" t="s">
        <v>303</v>
      </c>
      <c r="H37" s="456"/>
      <c r="I37" s="456"/>
      <c r="J37" s="456"/>
    </row>
    <row r="38" spans="1:10" ht="15.75" x14ac:dyDescent="0.25">
      <c r="A38" s="4" t="s">
        <v>70</v>
      </c>
      <c r="B38" s="370" t="s">
        <v>304</v>
      </c>
      <c r="C38" s="50">
        <v>0.05</v>
      </c>
      <c r="D38" s="51">
        <v>0.1</v>
      </c>
      <c r="E38" s="51">
        <v>0.15</v>
      </c>
      <c r="F38" s="51">
        <v>0.2</v>
      </c>
      <c r="G38" s="52">
        <v>0.05</v>
      </c>
      <c r="H38" s="52">
        <v>0.1</v>
      </c>
      <c r="I38" s="52">
        <v>0.15</v>
      </c>
      <c r="J38" s="52">
        <v>0.2</v>
      </c>
    </row>
    <row r="39" spans="1:10" ht="15" x14ac:dyDescent="0.2">
      <c r="A39" s="3" t="s">
        <v>92</v>
      </c>
      <c r="B39" s="53">
        <f>'PROYECCIONES EGRESOS E INGRESOS'!$E$7</f>
        <v>4938102.9152533263</v>
      </c>
      <c r="C39" s="53">
        <f>'PROYECCIONES EGRESOS E INGRESOS'!$E$7</f>
        <v>4938102.9152533263</v>
      </c>
      <c r="D39" s="53">
        <f>'PROYECCIONES EGRESOS E INGRESOS'!$E$7</f>
        <v>4938102.9152533263</v>
      </c>
      <c r="E39" s="53">
        <f>'PROYECCIONES EGRESOS E INGRESOS'!$E$7</f>
        <v>4938102.9152533263</v>
      </c>
      <c r="F39" s="53">
        <f>'PROYECCIONES EGRESOS E INGRESOS'!$E$7</f>
        <v>4938102.9152533263</v>
      </c>
      <c r="G39" s="53">
        <f>'PROYECCIONES EGRESOS E INGRESOS'!$E$7</f>
        <v>4938102.9152533263</v>
      </c>
      <c r="H39" s="53">
        <f>'PROYECCIONES EGRESOS E INGRESOS'!$E$7</f>
        <v>4938102.9152533263</v>
      </c>
      <c r="I39" s="53">
        <f>'PROYECCIONES EGRESOS E INGRESOS'!$E$7</f>
        <v>4938102.9152533263</v>
      </c>
      <c r="J39" s="53">
        <f>'PROYECCIONES EGRESOS E INGRESOS'!$E$7</f>
        <v>4938102.9152533263</v>
      </c>
    </row>
    <row r="40" spans="1:10" ht="15" x14ac:dyDescent="0.2">
      <c r="A40" s="3" t="s">
        <v>298</v>
      </c>
      <c r="B40" s="53">
        <f>'PROYECCIONES EGRESOS E INGRESOS'!$E$10+'PROYECCIONES EGRESOS E INGRESOS'!$E$11</f>
        <v>2175287.7528418931</v>
      </c>
      <c r="C40" s="53">
        <f>'PROYECCIONES EGRESOS E INGRESOS'!$E$10+'PROYECCIONES EGRESOS E INGRESOS'!$E$11</f>
        <v>2175287.7528418931</v>
      </c>
      <c r="D40" s="53">
        <f>'PROYECCIONES EGRESOS E INGRESOS'!$E$10+'PROYECCIONES EGRESOS E INGRESOS'!$E$11</f>
        <v>2175287.7528418931</v>
      </c>
      <c r="E40" s="53">
        <f>'PROYECCIONES EGRESOS E INGRESOS'!$E$10+'PROYECCIONES EGRESOS E INGRESOS'!$E$11</f>
        <v>2175287.7528418931</v>
      </c>
      <c r="F40" s="53">
        <f>'PROYECCIONES EGRESOS E INGRESOS'!$E$10+'PROYECCIONES EGRESOS E INGRESOS'!$E$11</f>
        <v>2175287.7528418931</v>
      </c>
      <c r="G40" s="53">
        <f>('PROYECCIONES EGRESOS E INGRESOS'!$E$10+'PROYECCIONES EGRESOS E INGRESOS'!$E$11)*1.05</f>
        <v>2284052.140483988</v>
      </c>
      <c r="H40" s="53">
        <f>('PROYECCIONES EGRESOS E INGRESOS'!$E$10+'PROYECCIONES EGRESOS E INGRESOS'!$E$11)*1.1</f>
        <v>2392816.5281260828</v>
      </c>
      <c r="I40" s="53">
        <f>('PROYECCIONES EGRESOS E INGRESOS'!$E$10+'PROYECCIONES EGRESOS E INGRESOS'!$E$11)*1.15</f>
        <v>2501580.9157681768</v>
      </c>
      <c r="J40" s="53">
        <f>('PROYECCIONES EGRESOS E INGRESOS'!$E$10+'PROYECCIONES EGRESOS E INGRESOS'!$E$11)*1.2</f>
        <v>2610345.3034102716</v>
      </c>
    </row>
    <row r="41" spans="1:10" ht="15.75" x14ac:dyDescent="0.25">
      <c r="A41" s="3" t="s">
        <v>28</v>
      </c>
      <c r="B41" s="55">
        <f>B39-B40</f>
        <v>2762815.1624114332</v>
      </c>
      <c r="C41" s="55">
        <f t="shared" ref="C41:J41" si="7">C39-C40</f>
        <v>2762815.1624114332</v>
      </c>
      <c r="D41" s="55">
        <f t="shared" si="7"/>
        <v>2762815.1624114332</v>
      </c>
      <c r="E41" s="55">
        <f t="shared" si="7"/>
        <v>2762815.1624114332</v>
      </c>
      <c r="F41" s="55">
        <f t="shared" si="7"/>
        <v>2762815.1624114332</v>
      </c>
      <c r="G41" s="55">
        <f t="shared" si="7"/>
        <v>2654050.7747693383</v>
      </c>
      <c r="H41" s="55">
        <f t="shared" si="7"/>
        <v>2545286.3871272434</v>
      </c>
      <c r="I41" s="55">
        <f t="shared" si="7"/>
        <v>2436521.9994851495</v>
      </c>
      <c r="J41" s="55">
        <f t="shared" si="7"/>
        <v>2327757.6118430546</v>
      </c>
    </row>
    <row r="42" spans="1:10" ht="15" x14ac:dyDescent="0.2">
      <c r="A42" s="58"/>
      <c r="B42" s="18"/>
      <c r="C42" s="18"/>
      <c r="D42" s="18"/>
      <c r="E42" s="18"/>
      <c r="F42" s="18"/>
      <c r="G42" s="18"/>
      <c r="H42" s="18"/>
      <c r="I42" s="18"/>
      <c r="J42" s="62"/>
    </row>
    <row r="43" spans="1:10" ht="15.75" x14ac:dyDescent="0.25">
      <c r="A43" s="59" t="s">
        <v>305</v>
      </c>
      <c r="B43" s="222">
        <f>+B39/B40</f>
        <v>2.2700918114405635</v>
      </c>
      <c r="C43" s="60">
        <f t="shared" ref="C43:J43" si="8">+C39/C40</f>
        <v>2.2700918114405635</v>
      </c>
      <c r="D43" s="60">
        <f t="shared" si="8"/>
        <v>2.2700918114405635</v>
      </c>
      <c r="E43" s="60">
        <f t="shared" si="8"/>
        <v>2.2700918114405635</v>
      </c>
      <c r="F43" s="60">
        <f t="shared" si="8"/>
        <v>2.2700918114405635</v>
      </c>
      <c r="G43" s="60">
        <f t="shared" si="8"/>
        <v>2.161992201371965</v>
      </c>
      <c r="H43" s="60">
        <f t="shared" si="8"/>
        <v>2.0637198285823302</v>
      </c>
      <c r="I43" s="60">
        <f t="shared" si="8"/>
        <v>1.973992879513534</v>
      </c>
      <c r="J43" s="63">
        <f t="shared" si="8"/>
        <v>1.8917431762004697</v>
      </c>
    </row>
    <row r="44" spans="1:10" ht="15.75" x14ac:dyDescent="0.25">
      <c r="A44" s="14"/>
      <c r="B44" s="61"/>
      <c r="C44" s="61"/>
      <c r="D44" s="61"/>
      <c r="E44" s="61"/>
      <c r="F44" s="61"/>
      <c r="G44" s="19"/>
      <c r="H44" s="19"/>
      <c r="I44" s="19"/>
      <c r="J44" s="64"/>
    </row>
    <row r="45" spans="1:10" ht="15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spans="1:10" ht="15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spans="1:10" ht="18" x14ac:dyDescent="0.25">
      <c r="A47" s="588" t="s">
        <v>309</v>
      </c>
      <c r="B47" s="588"/>
      <c r="C47" s="588"/>
      <c r="D47" s="588"/>
      <c r="E47" s="588"/>
      <c r="F47" s="588"/>
      <c r="G47" s="588"/>
      <c r="H47" s="588"/>
      <c r="I47" s="588"/>
      <c r="J47" s="589"/>
    </row>
    <row r="48" spans="1:10" ht="15" x14ac:dyDescent="0.2">
      <c r="A48" s="3"/>
      <c r="B48" s="3"/>
      <c r="C48" s="453" t="s">
        <v>302</v>
      </c>
      <c r="D48" s="454"/>
      <c r="E48" s="454"/>
      <c r="F48" s="455"/>
      <c r="G48" s="456" t="s">
        <v>303</v>
      </c>
      <c r="H48" s="456"/>
      <c r="I48" s="456"/>
      <c r="J48" s="456"/>
    </row>
    <row r="49" spans="1:10" ht="15.75" x14ac:dyDescent="0.25">
      <c r="A49" s="4" t="s">
        <v>70</v>
      </c>
      <c r="B49" s="370" t="s">
        <v>304</v>
      </c>
      <c r="C49" s="50">
        <v>0.05</v>
      </c>
      <c r="D49" s="51">
        <v>0.1</v>
      </c>
      <c r="E49" s="51">
        <v>0.15</v>
      </c>
      <c r="F49" s="51">
        <v>0.2</v>
      </c>
      <c r="G49" s="52">
        <v>0.05</v>
      </c>
      <c r="H49" s="52">
        <v>0.1</v>
      </c>
      <c r="I49" s="52">
        <v>0.15</v>
      </c>
      <c r="J49" s="52">
        <v>0.2</v>
      </c>
    </row>
    <row r="50" spans="1:10" ht="15" x14ac:dyDescent="0.2">
      <c r="A50" s="3" t="s">
        <v>92</v>
      </c>
      <c r="B50" s="53">
        <f>'PROYECCIONES EGRESOS E INGRESOS'!$F$7</f>
        <v>5382532.1776261274</v>
      </c>
      <c r="C50" s="53">
        <f>'PROYECCIONES EGRESOS E INGRESOS'!$F$7</f>
        <v>5382532.1776261274</v>
      </c>
      <c r="D50" s="53">
        <f>'PROYECCIONES EGRESOS E INGRESOS'!$F$7</f>
        <v>5382532.1776261274</v>
      </c>
      <c r="E50" s="53">
        <f>'PROYECCIONES EGRESOS E INGRESOS'!$F$7</f>
        <v>5382532.1776261274</v>
      </c>
      <c r="F50" s="53">
        <f>'PROYECCIONES EGRESOS E INGRESOS'!$F$7</f>
        <v>5382532.1776261274</v>
      </c>
      <c r="G50" s="53">
        <f>'PROYECCIONES EGRESOS E INGRESOS'!$F$7</f>
        <v>5382532.1776261274</v>
      </c>
      <c r="H50" s="53">
        <f>'PROYECCIONES EGRESOS E INGRESOS'!$F$7</f>
        <v>5382532.1776261274</v>
      </c>
      <c r="I50" s="53">
        <f>'PROYECCIONES EGRESOS E INGRESOS'!$F$7</f>
        <v>5382532.1776261274</v>
      </c>
      <c r="J50" s="53">
        <f>'PROYECCIONES EGRESOS E INGRESOS'!$F$7</f>
        <v>5382532.1776261274</v>
      </c>
    </row>
    <row r="51" spans="1:10" ht="15" x14ac:dyDescent="0.2">
      <c r="A51" s="3" t="s">
        <v>298</v>
      </c>
      <c r="B51" s="53">
        <f>'PROYECCIONES EGRESOS E INGRESOS'!$F$10+'PROYECCIONES EGRESOS E INGRESOS'!$F$11</f>
        <v>2189150.0445774277</v>
      </c>
      <c r="C51" s="53">
        <f>'PROYECCIONES EGRESOS E INGRESOS'!$F$10+'PROYECCIONES EGRESOS E INGRESOS'!$F$11</f>
        <v>2189150.0445774277</v>
      </c>
      <c r="D51" s="53">
        <f>'PROYECCIONES EGRESOS E INGRESOS'!$F$10+'PROYECCIONES EGRESOS E INGRESOS'!$F$11</f>
        <v>2189150.0445774277</v>
      </c>
      <c r="E51" s="53">
        <f>'PROYECCIONES EGRESOS E INGRESOS'!$F$10+'PROYECCIONES EGRESOS E INGRESOS'!$F$11</f>
        <v>2189150.0445774277</v>
      </c>
      <c r="F51" s="53">
        <f>'PROYECCIONES EGRESOS E INGRESOS'!$F$10+'PROYECCIONES EGRESOS E INGRESOS'!$F$11</f>
        <v>2189150.0445774277</v>
      </c>
      <c r="G51" s="53">
        <f>('PROYECCIONES EGRESOS E INGRESOS'!$F$10+'PROYECCIONES EGRESOS E INGRESOS'!$F$11)*1.1</f>
        <v>2408065.0490351706</v>
      </c>
      <c r="H51" s="53">
        <f>('PROYECCIONES EGRESOS E INGRESOS'!$F$10+'PROYECCIONES EGRESOS E INGRESOS'!$F$11)*1.1</f>
        <v>2408065.0490351706</v>
      </c>
      <c r="I51" s="53">
        <f>('PROYECCIONES EGRESOS E INGRESOS'!$F$10+'PROYECCIONES EGRESOS E INGRESOS'!$F$11)*1.15</f>
        <v>2517522.5512640416</v>
      </c>
      <c r="J51" s="53">
        <f>('PROYECCIONES EGRESOS E INGRESOS'!$F$10+'PROYECCIONES EGRESOS E INGRESOS'!$F$11)*1.2</f>
        <v>2626980.053492913</v>
      </c>
    </row>
    <row r="52" spans="1:10" ht="15.75" x14ac:dyDescent="0.25">
      <c r="A52" s="3" t="s">
        <v>28</v>
      </c>
      <c r="B52" s="55">
        <f>B50-B51</f>
        <v>3193382.1330486997</v>
      </c>
      <c r="C52" s="55">
        <f t="shared" ref="C52:J52" si="9">C50-C51</f>
        <v>3193382.1330486997</v>
      </c>
      <c r="D52" s="55">
        <f t="shared" si="9"/>
        <v>3193382.1330486997</v>
      </c>
      <c r="E52" s="55">
        <f t="shared" si="9"/>
        <v>3193382.1330486997</v>
      </c>
      <c r="F52" s="55">
        <f t="shared" si="9"/>
        <v>3193382.1330486997</v>
      </c>
      <c r="G52" s="55">
        <f t="shared" si="9"/>
        <v>2974467.1285909568</v>
      </c>
      <c r="H52" s="55">
        <f t="shared" si="9"/>
        <v>2974467.1285909568</v>
      </c>
      <c r="I52" s="55">
        <f t="shared" si="9"/>
        <v>2865009.6263620858</v>
      </c>
      <c r="J52" s="55">
        <f t="shared" si="9"/>
        <v>2755552.1241332144</v>
      </c>
    </row>
    <row r="53" spans="1:10" ht="15" x14ac:dyDescent="0.2">
      <c r="A53" s="58"/>
      <c r="B53" s="18"/>
      <c r="C53" s="18"/>
      <c r="D53" s="18"/>
      <c r="E53" s="18"/>
      <c r="F53" s="18"/>
      <c r="G53" s="18"/>
      <c r="H53" s="18"/>
      <c r="I53" s="18"/>
      <c r="J53" s="62"/>
    </row>
    <row r="54" spans="1:10" ht="15.75" x14ac:dyDescent="0.25">
      <c r="A54" s="59" t="s">
        <v>305</v>
      </c>
      <c r="B54" s="60">
        <f t="shared" ref="B54:J54" si="10">+B50/B51</f>
        <v>2.4587315021913536</v>
      </c>
      <c r="C54" s="60">
        <f t="shared" si="10"/>
        <v>2.4587315021913536</v>
      </c>
      <c r="D54" s="60">
        <f t="shared" si="10"/>
        <v>2.4587315021913536</v>
      </c>
      <c r="E54" s="60">
        <f t="shared" si="10"/>
        <v>2.4587315021913536</v>
      </c>
      <c r="F54" s="60">
        <f t="shared" si="10"/>
        <v>2.4587315021913536</v>
      </c>
      <c r="G54" s="60">
        <f t="shared" si="10"/>
        <v>2.2352104565375939</v>
      </c>
      <c r="H54" s="60">
        <f t="shared" si="10"/>
        <v>2.2352104565375939</v>
      </c>
      <c r="I54" s="60">
        <f t="shared" si="10"/>
        <v>2.1380273932098728</v>
      </c>
      <c r="J54" s="63">
        <f t="shared" si="10"/>
        <v>2.048942918492795</v>
      </c>
    </row>
    <row r="55" spans="1:10" ht="15.75" x14ac:dyDescent="0.25">
      <c r="A55" s="14"/>
      <c r="B55" s="61"/>
      <c r="C55" s="61"/>
      <c r="D55" s="61"/>
      <c r="E55" s="61"/>
      <c r="F55" s="61"/>
      <c r="G55" s="19"/>
      <c r="H55" s="19"/>
      <c r="I55" s="19"/>
      <c r="J55" s="64"/>
    </row>
  </sheetData>
  <mergeCells count="15">
    <mergeCell ref="A6:J6"/>
    <mergeCell ref="C7:F7"/>
    <mergeCell ref="G7:J7"/>
    <mergeCell ref="A15:J15"/>
    <mergeCell ref="C16:F16"/>
    <mergeCell ref="G16:J16"/>
    <mergeCell ref="A47:J47"/>
    <mergeCell ref="C48:F48"/>
    <mergeCell ref="G48:J48"/>
    <mergeCell ref="A25:J25"/>
    <mergeCell ref="C26:F26"/>
    <mergeCell ref="G26:J26"/>
    <mergeCell ref="A36:J36"/>
    <mergeCell ref="C37:F37"/>
    <mergeCell ref="G37:J37"/>
  </mergeCells>
  <pageMargins left="0.5" right="0.59" top="0.41" bottom="0.55000000000000004" header="0" footer="0"/>
  <pageSetup orientation="landscape" horizontalDpi="300" verticalDpi="300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FA14-E655-4BF4-A75F-9A1E05F918C4}">
  <dimension ref="A2:X77"/>
  <sheetViews>
    <sheetView topLeftCell="A39" zoomScale="66" zoomScaleNormal="66" workbookViewId="0">
      <selection activeCell="B63" sqref="B63"/>
    </sheetView>
    <sheetView zoomScale="53" zoomScaleNormal="100" workbookViewId="1">
      <selection activeCell="B68" sqref="B68:N68"/>
    </sheetView>
  </sheetViews>
  <sheetFormatPr baseColWidth="10" defaultColWidth="11.42578125" defaultRowHeight="12.75" x14ac:dyDescent="0.2"/>
  <cols>
    <col min="1" max="1" width="58.7109375" customWidth="1"/>
    <col min="2" max="7" width="18" bestFit="1" customWidth="1"/>
    <col min="8" max="8" width="18.5703125" bestFit="1" customWidth="1"/>
    <col min="9" max="12" width="18" bestFit="1" customWidth="1"/>
    <col min="13" max="13" width="18.5703125" bestFit="1" customWidth="1"/>
    <col min="14" max="14" width="22.5703125" bestFit="1" customWidth="1"/>
    <col min="15" max="15" width="11.42578125" bestFit="1" customWidth="1"/>
    <col min="16" max="16" width="14" customWidth="1"/>
    <col min="17" max="17" width="11.42578125" bestFit="1" customWidth="1"/>
    <col min="21" max="21" width="7.28515625" customWidth="1"/>
    <col min="22" max="22" width="15.5703125" customWidth="1"/>
    <col min="23" max="23" width="17.7109375" customWidth="1"/>
  </cols>
  <sheetData>
    <row r="2" spans="1:24" ht="18" x14ac:dyDescent="0.25">
      <c r="A2" s="47" t="s">
        <v>136</v>
      </c>
    </row>
    <row r="4" spans="1:24" ht="15.75" x14ac:dyDescent="0.25">
      <c r="A4" s="2" t="s">
        <v>65</v>
      </c>
      <c r="B4" s="2"/>
    </row>
    <row r="5" spans="1:24" ht="15.75" x14ac:dyDescent="0.25">
      <c r="A5" s="2" t="s">
        <v>66</v>
      </c>
      <c r="B5" s="2"/>
    </row>
    <row r="6" spans="1:24" ht="15.75" x14ac:dyDescent="0.25">
      <c r="A6" s="2" t="s">
        <v>67</v>
      </c>
      <c r="B6" s="2"/>
    </row>
    <row r="7" spans="1:24" ht="16.5" thickBot="1" x14ac:dyDescent="0.3">
      <c r="A7" s="2"/>
      <c r="B7" s="2"/>
    </row>
    <row r="8" spans="1:24" ht="15.75" x14ac:dyDescent="0.25">
      <c r="A8" s="548" t="s">
        <v>137</v>
      </c>
      <c r="B8" s="549" t="s">
        <v>138</v>
      </c>
      <c r="C8" s="549"/>
      <c r="D8" s="549"/>
      <c r="E8" s="549"/>
      <c r="F8" s="549"/>
      <c r="G8" s="549"/>
      <c r="H8" s="549"/>
      <c r="I8" s="549"/>
      <c r="J8" s="549"/>
      <c r="K8" s="549"/>
      <c r="L8" s="549"/>
      <c r="M8" s="549"/>
      <c r="N8" s="549"/>
      <c r="P8" s="413" t="s">
        <v>488</v>
      </c>
      <c r="Q8" s="413"/>
      <c r="R8" s="413" t="s">
        <v>494</v>
      </c>
      <c r="S8" s="413" t="s">
        <v>495</v>
      </c>
      <c r="T8" s="413" t="s">
        <v>490</v>
      </c>
      <c r="U8" s="413" t="s">
        <v>491</v>
      </c>
      <c r="V8" s="413" t="s">
        <v>492</v>
      </c>
      <c r="W8" s="413" t="s">
        <v>493</v>
      </c>
      <c r="X8" s="413" t="s">
        <v>555</v>
      </c>
    </row>
    <row r="9" spans="1:24" ht="15.75" x14ac:dyDescent="0.25">
      <c r="A9" s="118" t="s">
        <v>69</v>
      </c>
      <c r="B9" s="119">
        <v>1</v>
      </c>
      <c r="C9" s="119">
        <v>2</v>
      </c>
      <c r="D9" s="119">
        <v>3</v>
      </c>
      <c r="E9" s="119">
        <v>4</v>
      </c>
      <c r="F9" s="119">
        <v>5</v>
      </c>
      <c r="G9" s="119">
        <v>6</v>
      </c>
      <c r="H9" s="119">
        <v>7</v>
      </c>
      <c r="I9" s="119">
        <v>8</v>
      </c>
      <c r="J9" s="119">
        <v>9</v>
      </c>
      <c r="K9" s="119">
        <v>10</v>
      </c>
      <c r="L9" s="119">
        <v>11</v>
      </c>
      <c r="M9" s="119">
        <v>12</v>
      </c>
      <c r="N9" s="119" t="s">
        <v>28</v>
      </c>
      <c r="P9" s="411" t="str" cm="1">
        <f t="array" ref="P9:P14">A11:A16</f>
        <v>Cerveza Regia</v>
      </c>
      <c r="Q9" s="411"/>
      <c r="R9" s="411">
        <v>97.5</v>
      </c>
      <c r="S9" s="411">
        <f t="shared" ref="S9:X9" si="0">R9*1.09</f>
        <v>106.27500000000001</v>
      </c>
      <c r="T9" s="411">
        <f t="shared" si="0"/>
        <v>115.83975000000001</v>
      </c>
      <c r="U9" s="411">
        <f t="shared" si="0"/>
        <v>126.26532750000003</v>
      </c>
      <c r="V9" s="411">
        <f t="shared" si="0"/>
        <v>137.62920697500005</v>
      </c>
      <c r="W9" s="411">
        <f t="shared" si="0"/>
        <v>150.01583560275006</v>
      </c>
      <c r="X9" s="411">
        <f t="shared" si="0"/>
        <v>163.51726080699757</v>
      </c>
    </row>
    <row r="10" spans="1:24" ht="15.75" x14ac:dyDescent="0.25">
      <c r="A10" s="114" t="s">
        <v>139</v>
      </c>
      <c r="B10" s="370"/>
      <c r="C10" s="370"/>
      <c r="D10" s="370"/>
      <c r="E10" s="370"/>
      <c r="F10" s="370"/>
      <c r="G10" s="370"/>
      <c r="H10" s="370"/>
      <c r="I10" s="370"/>
      <c r="J10" s="370"/>
      <c r="K10" s="370"/>
      <c r="L10" s="370"/>
      <c r="M10" s="370"/>
      <c r="N10" s="119" t="s">
        <v>140</v>
      </c>
      <c r="P10" s="411" t="str">
        <v>Cerveza Golden</v>
      </c>
      <c r="Q10" s="411"/>
      <c r="R10" s="411">
        <v>97.5</v>
      </c>
      <c r="S10" s="411">
        <f t="shared" ref="S10:W14" si="1">R10*1.09</f>
        <v>106.27500000000001</v>
      </c>
      <c r="T10" s="411">
        <f t="shared" si="1"/>
        <v>115.83975000000001</v>
      </c>
      <c r="U10" s="411">
        <f t="shared" si="1"/>
        <v>126.26532750000003</v>
      </c>
      <c r="V10" s="411">
        <f t="shared" si="1"/>
        <v>137.62920697500005</v>
      </c>
      <c r="W10" s="411">
        <f t="shared" si="1"/>
        <v>150.01583560275006</v>
      </c>
      <c r="X10" s="411">
        <f t="shared" ref="X10:X14" si="2">W10*1.09</f>
        <v>163.51726080699757</v>
      </c>
    </row>
    <row r="11" spans="1:24" ht="15" x14ac:dyDescent="0.2">
      <c r="A11" s="120" t="s">
        <v>141</v>
      </c>
      <c r="B11" s="121">
        <f>498.33*97.5</f>
        <v>48587.174999999996</v>
      </c>
      <c r="C11" s="121">
        <f t="shared" ref="C11" si="3">498.33*97.5</f>
        <v>48587.174999999996</v>
      </c>
      <c r="D11" s="121">
        <f>498.33*97.5</f>
        <v>48587.174999999996</v>
      </c>
      <c r="E11" s="121">
        <f t="shared" ref="E11:G11" si="4">498.33*97.5</f>
        <v>48587.174999999996</v>
      </c>
      <c r="F11" s="121">
        <f t="shared" si="4"/>
        <v>48587.174999999996</v>
      </c>
      <c r="G11" s="121">
        <f t="shared" si="4"/>
        <v>48587.174999999996</v>
      </c>
      <c r="H11" s="417">
        <f>498.33*$S$9</f>
        <v>52960.020750000003</v>
      </c>
      <c r="I11" s="121">
        <f>498.33*$S$9</f>
        <v>52960.020750000003</v>
      </c>
      <c r="J11" s="121">
        <f>498.33*$S$9</f>
        <v>52960.020750000003</v>
      </c>
      <c r="K11" s="121">
        <f>498.33*$S$9</f>
        <v>52960.020750000003</v>
      </c>
      <c r="L11" s="121">
        <f>498.33*$S$9</f>
        <v>52960.020750000003</v>
      </c>
      <c r="M11" s="121">
        <f>498.33*$S$9</f>
        <v>52960.020750000003</v>
      </c>
      <c r="N11" s="121"/>
      <c r="P11" s="411" t="str">
        <v>Cerveza Honey</v>
      </c>
      <c r="Q11" s="411"/>
      <c r="R11" s="411">
        <v>97.5</v>
      </c>
      <c r="S11" s="411">
        <f t="shared" si="1"/>
        <v>106.27500000000001</v>
      </c>
      <c r="T11" s="411">
        <f t="shared" si="1"/>
        <v>115.83975000000001</v>
      </c>
      <c r="U11" s="411">
        <f t="shared" si="1"/>
        <v>126.26532750000003</v>
      </c>
      <c r="V11" s="411">
        <f t="shared" si="1"/>
        <v>137.62920697500005</v>
      </c>
      <c r="W11" s="411">
        <f t="shared" si="1"/>
        <v>150.01583560275006</v>
      </c>
      <c r="X11" s="411">
        <f t="shared" si="2"/>
        <v>163.51726080699757</v>
      </c>
    </row>
    <row r="12" spans="1:24" ht="15" x14ac:dyDescent="0.2">
      <c r="A12" s="120" t="s">
        <v>142</v>
      </c>
      <c r="B12" s="121">
        <f t="shared" ref="B12:G16" si="5">498.33*97.5</f>
        <v>48587.174999999996</v>
      </c>
      <c r="C12" s="121">
        <f t="shared" si="5"/>
        <v>48587.174999999996</v>
      </c>
      <c r="D12" s="121">
        <f t="shared" si="5"/>
        <v>48587.174999999996</v>
      </c>
      <c r="E12" s="121">
        <f t="shared" si="5"/>
        <v>48587.174999999996</v>
      </c>
      <c r="F12" s="121">
        <f t="shared" si="5"/>
        <v>48587.174999999996</v>
      </c>
      <c r="G12" s="121">
        <f t="shared" si="5"/>
        <v>48587.174999999996</v>
      </c>
      <c r="H12" s="121">
        <f>498.33*$S$9</f>
        <v>52960.020750000003</v>
      </c>
      <c r="I12" s="121">
        <f>498.33*$S$9</f>
        <v>52960.020750000003</v>
      </c>
      <c r="J12" s="121">
        <f>498.33*$S$9</f>
        <v>52960.020750000003</v>
      </c>
      <c r="K12" s="121">
        <f>498.33*$S$9</f>
        <v>52960.020750000003</v>
      </c>
      <c r="L12" s="121">
        <f>498.33*$S$9</f>
        <v>52960.020750000003</v>
      </c>
      <c r="M12" s="121">
        <f>498.33*$S$9</f>
        <v>52960.020750000003</v>
      </c>
      <c r="N12" s="121"/>
      <c r="P12" s="411" t="str">
        <v>Cerveza Milf</v>
      </c>
      <c r="Q12" s="411"/>
      <c r="R12" s="411">
        <v>97.5</v>
      </c>
      <c r="S12" s="411">
        <f t="shared" si="1"/>
        <v>106.27500000000001</v>
      </c>
      <c r="T12" s="411">
        <f t="shared" si="1"/>
        <v>115.83975000000001</v>
      </c>
      <c r="U12" s="411">
        <f t="shared" si="1"/>
        <v>126.26532750000003</v>
      </c>
      <c r="V12" s="411">
        <f t="shared" si="1"/>
        <v>137.62920697500005</v>
      </c>
      <c r="W12" s="411">
        <f t="shared" si="1"/>
        <v>150.01583560275006</v>
      </c>
      <c r="X12" s="411">
        <f t="shared" si="2"/>
        <v>163.51726080699757</v>
      </c>
    </row>
    <row r="13" spans="1:24" ht="15" x14ac:dyDescent="0.2">
      <c r="A13" s="120" t="s">
        <v>143</v>
      </c>
      <c r="B13" s="121">
        <f t="shared" si="5"/>
        <v>48587.174999999996</v>
      </c>
      <c r="C13" s="121">
        <f t="shared" si="5"/>
        <v>48587.174999999996</v>
      </c>
      <c r="D13" s="121">
        <f t="shared" si="5"/>
        <v>48587.174999999996</v>
      </c>
      <c r="E13" s="121">
        <f t="shared" si="5"/>
        <v>48587.174999999996</v>
      </c>
      <c r="F13" s="121">
        <f t="shared" si="5"/>
        <v>48587.174999999996</v>
      </c>
      <c r="G13" s="121">
        <f t="shared" si="5"/>
        <v>48587.174999999996</v>
      </c>
      <c r="H13" s="121">
        <f>498.33*$S$9</f>
        <v>52960.020750000003</v>
      </c>
      <c r="I13" s="121">
        <f>498.33*$S$9</f>
        <v>52960.020750000003</v>
      </c>
      <c r="J13" s="121">
        <f>498.33*$S$9</f>
        <v>52960.020750000003</v>
      </c>
      <c r="K13" s="121">
        <f>498.33*$S$9</f>
        <v>52960.020750000003</v>
      </c>
      <c r="L13" s="121">
        <f>498.33*$S$9</f>
        <v>52960.020750000003</v>
      </c>
      <c r="M13" s="121">
        <f>498.33*$S$9</f>
        <v>52960.020750000003</v>
      </c>
      <c r="N13" s="121"/>
      <c r="P13" s="411" t="str">
        <v>Cerveza Dark</v>
      </c>
      <c r="Q13" s="411"/>
      <c r="R13" s="411">
        <v>97.5</v>
      </c>
      <c r="S13" s="411">
        <f t="shared" si="1"/>
        <v>106.27500000000001</v>
      </c>
      <c r="T13" s="411">
        <f t="shared" si="1"/>
        <v>115.83975000000001</v>
      </c>
      <c r="U13" s="411">
        <f t="shared" si="1"/>
        <v>126.26532750000003</v>
      </c>
      <c r="V13" s="411">
        <f t="shared" si="1"/>
        <v>137.62920697500005</v>
      </c>
      <c r="W13" s="411">
        <f t="shared" si="1"/>
        <v>150.01583560275006</v>
      </c>
      <c r="X13" s="411">
        <f t="shared" si="2"/>
        <v>163.51726080699757</v>
      </c>
    </row>
    <row r="14" spans="1:24" ht="15" x14ac:dyDescent="0.2">
      <c r="A14" s="120" t="s">
        <v>144</v>
      </c>
      <c r="B14" s="121">
        <f t="shared" si="5"/>
        <v>48587.174999999996</v>
      </c>
      <c r="C14" s="121">
        <f t="shared" si="5"/>
        <v>48587.174999999996</v>
      </c>
      <c r="D14" s="121">
        <f t="shared" si="5"/>
        <v>48587.174999999996</v>
      </c>
      <c r="E14" s="121">
        <f t="shared" si="5"/>
        <v>48587.174999999996</v>
      </c>
      <c r="F14" s="121">
        <f t="shared" si="5"/>
        <v>48587.174999999996</v>
      </c>
      <c r="G14" s="121">
        <f t="shared" si="5"/>
        <v>48587.174999999996</v>
      </c>
      <c r="H14" s="121">
        <f>498.33*$S$9</f>
        <v>52960.020750000003</v>
      </c>
      <c r="I14" s="121">
        <f>498.33*$S$9</f>
        <v>52960.020750000003</v>
      </c>
      <c r="J14" s="121">
        <f>498.33*$S$9</f>
        <v>52960.020750000003</v>
      </c>
      <c r="K14" s="121">
        <f>498.33*$S$9</f>
        <v>52960.020750000003</v>
      </c>
      <c r="L14" s="121">
        <f>498.33*$S$9</f>
        <v>52960.020750000003</v>
      </c>
      <c r="M14" s="121">
        <f>498.33*$S$9</f>
        <v>52960.020750000003</v>
      </c>
      <c r="N14" s="121"/>
      <c r="P14" s="411" t="str">
        <v>Cerveza Ver-got</v>
      </c>
      <c r="Q14" s="411"/>
      <c r="R14" s="411">
        <v>97.5</v>
      </c>
      <c r="S14" s="411">
        <f t="shared" si="1"/>
        <v>106.27500000000001</v>
      </c>
      <c r="T14" s="411">
        <f t="shared" si="1"/>
        <v>115.83975000000001</v>
      </c>
      <c r="U14" s="411">
        <f t="shared" si="1"/>
        <v>126.26532750000003</v>
      </c>
      <c r="V14" s="411">
        <f t="shared" si="1"/>
        <v>137.62920697500005</v>
      </c>
      <c r="W14" s="411">
        <f t="shared" si="1"/>
        <v>150.01583560275006</v>
      </c>
      <c r="X14" s="411">
        <f t="shared" si="2"/>
        <v>163.51726080699757</v>
      </c>
    </row>
    <row r="15" spans="1:24" ht="15" x14ac:dyDescent="0.2">
      <c r="A15" s="120" t="s">
        <v>145</v>
      </c>
      <c r="B15" s="121">
        <f t="shared" si="5"/>
        <v>48587.174999999996</v>
      </c>
      <c r="C15" s="121">
        <f t="shared" si="5"/>
        <v>48587.174999999996</v>
      </c>
      <c r="D15" s="121">
        <f t="shared" si="5"/>
        <v>48587.174999999996</v>
      </c>
      <c r="E15" s="121">
        <f t="shared" si="5"/>
        <v>48587.174999999996</v>
      </c>
      <c r="F15" s="121">
        <f t="shared" si="5"/>
        <v>48587.174999999996</v>
      </c>
      <c r="G15" s="121">
        <f t="shared" si="5"/>
        <v>48587.174999999996</v>
      </c>
      <c r="H15" s="121">
        <f>498.33*$S$9</f>
        <v>52960.020750000003</v>
      </c>
      <c r="I15" s="121">
        <f>498.33*$S$9</f>
        <v>52960.020750000003</v>
      </c>
      <c r="J15" s="121">
        <f>498.33*$S$9</f>
        <v>52960.020750000003</v>
      </c>
      <c r="K15" s="121">
        <f>498.33*$S$9</f>
        <v>52960.020750000003</v>
      </c>
      <c r="L15" s="121">
        <f>498.33*$S$9</f>
        <v>52960.020750000003</v>
      </c>
      <c r="M15" s="121">
        <f>498.33*$S$9</f>
        <v>52960.020750000003</v>
      </c>
      <c r="N15" s="121"/>
    </row>
    <row r="16" spans="1:24" ht="15" x14ac:dyDescent="0.2">
      <c r="A16" s="120" t="s">
        <v>146</v>
      </c>
      <c r="B16" s="121">
        <f t="shared" si="5"/>
        <v>48587.174999999996</v>
      </c>
      <c r="C16" s="121">
        <f t="shared" si="5"/>
        <v>48587.174999999996</v>
      </c>
      <c r="D16" s="121">
        <f t="shared" si="5"/>
        <v>48587.174999999996</v>
      </c>
      <c r="E16" s="121">
        <f t="shared" si="5"/>
        <v>48587.174999999996</v>
      </c>
      <c r="F16" s="121">
        <f t="shared" si="5"/>
        <v>48587.174999999996</v>
      </c>
      <c r="G16" s="121">
        <f t="shared" si="5"/>
        <v>48587.174999999996</v>
      </c>
      <c r="H16" s="121">
        <f>498.33*$S$9</f>
        <v>52960.020750000003</v>
      </c>
      <c r="I16" s="121">
        <f>498.33*$S$9</f>
        <v>52960.020750000003</v>
      </c>
      <c r="J16" s="121">
        <f>498.33*$S$9</f>
        <v>52960.020750000003</v>
      </c>
      <c r="K16" s="121">
        <f>498.33*$S$9</f>
        <v>52960.020750000003</v>
      </c>
      <c r="L16" s="121">
        <f>498.33*$S$9</f>
        <v>52960.020750000003</v>
      </c>
      <c r="M16" s="121">
        <f>498.33*$S$9</f>
        <v>52960.020750000003</v>
      </c>
      <c r="N16" s="121"/>
    </row>
    <row r="17" spans="1:14" ht="15.75" x14ac:dyDescent="0.25">
      <c r="A17" s="4" t="s">
        <v>147</v>
      </c>
      <c r="B17" s="67">
        <f>SUM(B11:B16)</f>
        <v>291523.05</v>
      </c>
      <c r="C17" s="67">
        <f t="shared" ref="C17:D17" si="6">SUM(C11:C16)</f>
        <v>291523.05</v>
      </c>
      <c r="D17" s="67">
        <f t="shared" si="6"/>
        <v>291523.05</v>
      </c>
      <c r="E17" s="67">
        <f t="shared" ref="E17" si="7">SUM(E11:E16)</f>
        <v>291523.05</v>
      </c>
      <c r="F17" s="67">
        <f t="shared" ref="F17" si="8">SUM(F11:F16)</f>
        <v>291523.05</v>
      </c>
      <c r="G17" s="67">
        <f t="shared" ref="G17" si="9">SUM(G11:G16)</f>
        <v>291523.05</v>
      </c>
      <c r="H17" s="67">
        <f t="shared" ref="H17" si="10">SUM(H11:H16)</f>
        <v>317760.12450000003</v>
      </c>
      <c r="I17" s="67">
        <f t="shared" ref="I17" si="11">SUM(I11:I16)</f>
        <v>317760.12450000003</v>
      </c>
      <c r="J17" s="67">
        <f t="shared" ref="J17" si="12">SUM(J11:J16)</f>
        <v>317760.12450000003</v>
      </c>
      <c r="K17" s="67">
        <f t="shared" ref="K17" si="13">SUM(K11:K16)</f>
        <v>317760.12450000003</v>
      </c>
      <c r="L17" s="67">
        <f t="shared" ref="L17" si="14">SUM(L11:L16)</f>
        <v>317760.12450000003</v>
      </c>
      <c r="M17" s="67">
        <f t="shared" ref="M17" si="15">SUM(M11:M16)</f>
        <v>317760.12450000003</v>
      </c>
      <c r="N17" s="123">
        <f>SUM(B17:M17)</f>
        <v>3655699.0469999998</v>
      </c>
    </row>
    <row r="18" spans="1:14" ht="15" x14ac:dyDescent="0.2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</row>
    <row r="19" spans="1:14" ht="15" x14ac:dyDescent="0.2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</row>
    <row r="20" spans="1:14" ht="15.75" x14ac:dyDescent="0.25">
      <c r="A20" s="548" t="s">
        <v>137</v>
      </c>
      <c r="B20" s="549" t="s">
        <v>489</v>
      </c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</row>
    <row r="21" spans="1:14" ht="15.75" x14ac:dyDescent="0.25">
      <c r="A21" s="118" t="s">
        <v>69</v>
      </c>
      <c r="B21" s="119">
        <f>B9</f>
        <v>1</v>
      </c>
      <c r="C21" s="119">
        <f t="shared" ref="C21:M21" si="16">C9</f>
        <v>2</v>
      </c>
      <c r="D21" s="119">
        <f t="shared" si="16"/>
        <v>3</v>
      </c>
      <c r="E21" s="119">
        <f t="shared" si="16"/>
        <v>4</v>
      </c>
      <c r="F21" s="119">
        <f t="shared" si="16"/>
        <v>5</v>
      </c>
      <c r="G21" s="119">
        <f t="shared" si="16"/>
        <v>6</v>
      </c>
      <c r="H21" s="119">
        <f t="shared" si="16"/>
        <v>7</v>
      </c>
      <c r="I21" s="119">
        <f t="shared" si="16"/>
        <v>8</v>
      </c>
      <c r="J21" s="119">
        <f t="shared" si="16"/>
        <v>9</v>
      </c>
      <c r="K21" s="119">
        <f t="shared" si="16"/>
        <v>10</v>
      </c>
      <c r="L21" s="119">
        <f t="shared" si="16"/>
        <v>11</v>
      </c>
      <c r="M21" s="119">
        <f t="shared" si="16"/>
        <v>12</v>
      </c>
      <c r="N21" s="119"/>
    </row>
    <row r="22" spans="1:14" ht="15.75" x14ac:dyDescent="0.25">
      <c r="A22" s="114" t="s">
        <v>139</v>
      </c>
      <c r="B22" s="370"/>
      <c r="C22" s="370"/>
      <c r="D22" s="370"/>
      <c r="E22" s="370"/>
      <c r="F22" s="370"/>
      <c r="G22" s="370"/>
      <c r="H22" s="370"/>
      <c r="I22" s="370"/>
      <c r="J22" s="370"/>
      <c r="K22" s="370"/>
      <c r="L22" s="370"/>
      <c r="M22" s="121"/>
      <c r="N22" s="119"/>
    </row>
    <row r="23" spans="1:14" ht="15" x14ac:dyDescent="0.2">
      <c r="A23" s="120" t="s">
        <v>141</v>
      </c>
      <c r="B23" s="276">
        <f>498.33*$T$9</f>
        <v>57726.4226175</v>
      </c>
      <c r="C23" s="276">
        <f>498.33*$T$9</f>
        <v>57726.4226175</v>
      </c>
      <c r="D23" s="276">
        <f>498.33*$T$9</f>
        <v>57726.4226175</v>
      </c>
      <c r="E23" s="276">
        <f>498.33*$T$9</f>
        <v>57726.4226175</v>
      </c>
      <c r="F23" s="276">
        <f>498.33*$T$9</f>
        <v>57726.4226175</v>
      </c>
      <c r="G23" s="276">
        <f>498.33*$T$9</f>
        <v>57726.4226175</v>
      </c>
      <c r="H23" s="276">
        <f>498.33*$T$9</f>
        <v>57726.4226175</v>
      </c>
      <c r="I23" s="276">
        <f>498.33*$T$9</f>
        <v>57726.4226175</v>
      </c>
      <c r="J23" s="276">
        <f>498.33*$T$9</f>
        <v>57726.4226175</v>
      </c>
      <c r="K23" s="276">
        <f>498.33*$T$9</f>
        <v>57726.4226175</v>
      </c>
      <c r="L23" s="276">
        <f>498.33*$T$9</f>
        <v>57726.4226175</v>
      </c>
      <c r="M23" s="276">
        <f>498.33*$T$9</f>
        <v>57726.4226175</v>
      </c>
      <c r="N23" s="121">
        <f>SUM(B23:M23)</f>
        <v>692717.07140999986</v>
      </c>
    </row>
    <row r="24" spans="1:14" ht="15" x14ac:dyDescent="0.2">
      <c r="A24" s="120" t="s">
        <v>142</v>
      </c>
      <c r="B24" s="276">
        <f>498.33*$T$9</f>
        <v>57726.4226175</v>
      </c>
      <c r="C24" s="276">
        <f>498.33*$T$9</f>
        <v>57726.4226175</v>
      </c>
      <c r="D24" s="276">
        <f>498.33*$T$9</f>
        <v>57726.4226175</v>
      </c>
      <c r="E24" s="276">
        <f>498.33*$T$9</f>
        <v>57726.4226175</v>
      </c>
      <c r="F24" s="276">
        <f>498.33*$T$9</f>
        <v>57726.4226175</v>
      </c>
      <c r="G24" s="276">
        <f>498.33*$T$9</f>
        <v>57726.4226175</v>
      </c>
      <c r="H24" s="276">
        <f>498.33*$T$9</f>
        <v>57726.4226175</v>
      </c>
      <c r="I24" s="276">
        <f>498.33*$T$9</f>
        <v>57726.4226175</v>
      </c>
      <c r="J24" s="276">
        <f>498.33*$T$9</f>
        <v>57726.4226175</v>
      </c>
      <c r="K24" s="276">
        <f>498.33*$T$9</f>
        <v>57726.4226175</v>
      </c>
      <c r="L24" s="276">
        <f>498.33*$T$9</f>
        <v>57726.4226175</v>
      </c>
      <c r="M24" s="276">
        <f>498.33*$T$9</f>
        <v>57726.4226175</v>
      </c>
      <c r="N24" s="121">
        <f t="shared" ref="N24:N28" si="17">SUM(B24:M24)</f>
        <v>692717.07140999986</v>
      </c>
    </row>
    <row r="25" spans="1:14" ht="15" x14ac:dyDescent="0.2">
      <c r="A25" s="120" t="s">
        <v>143</v>
      </c>
      <c r="B25" s="276">
        <f>498.33*$T$9</f>
        <v>57726.4226175</v>
      </c>
      <c r="C25" s="276">
        <f>498.33*$T$9</f>
        <v>57726.4226175</v>
      </c>
      <c r="D25" s="276">
        <f>498.33*$T$9</f>
        <v>57726.4226175</v>
      </c>
      <c r="E25" s="276">
        <f>498.33*$T$9</f>
        <v>57726.4226175</v>
      </c>
      <c r="F25" s="276">
        <f>498.33*$T$9</f>
        <v>57726.4226175</v>
      </c>
      <c r="G25" s="276">
        <f>498.33*$T$9</f>
        <v>57726.4226175</v>
      </c>
      <c r="H25" s="276">
        <f>498.33*$T$9</f>
        <v>57726.4226175</v>
      </c>
      <c r="I25" s="276">
        <f>498.33*$T$9</f>
        <v>57726.4226175</v>
      </c>
      <c r="J25" s="276">
        <f>498.33*$T$9</f>
        <v>57726.4226175</v>
      </c>
      <c r="K25" s="276">
        <f>498.33*$T$9</f>
        <v>57726.4226175</v>
      </c>
      <c r="L25" s="276">
        <f>498.33*$T$9</f>
        <v>57726.4226175</v>
      </c>
      <c r="M25" s="276">
        <f>498.33*$T$9</f>
        <v>57726.4226175</v>
      </c>
      <c r="N25" s="121">
        <f t="shared" si="17"/>
        <v>692717.07140999986</v>
      </c>
    </row>
    <row r="26" spans="1:14" ht="15" x14ac:dyDescent="0.2">
      <c r="A26" s="120" t="s">
        <v>144</v>
      </c>
      <c r="B26" s="276">
        <f>498.33*$T$9</f>
        <v>57726.4226175</v>
      </c>
      <c r="C26" s="276">
        <f>498.33*$T$9</f>
        <v>57726.4226175</v>
      </c>
      <c r="D26" s="276">
        <f>498.33*$T$9</f>
        <v>57726.4226175</v>
      </c>
      <c r="E26" s="276">
        <f>498.33*$T$9</f>
        <v>57726.4226175</v>
      </c>
      <c r="F26" s="276">
        <f>498.33*$T$9</f>
        <v>57726.4226175</v>
      </c>
      <c r="G26" s="276">
        <f>498.33*$T$9</f>
        <v>57726.4226175</v>
      </c>
      <c r="H26" s="276">
        <f>498.33*$T$9</f>
        <v>57726.4226175</v>
      </c>
      <c r="I26" s="276">
        <f>498.33*$T$9</f>
        <v>57726.4226175</v>
      </c>
      <c r="J26" s="276">
        <f>498.33*$T$9</f>
        <v>57726.4226175</v>
      </c>
      <c r="K26" s="276">
        <f>498.33*$T$9</f>
        <v>57726.4226175</v>
      </c>
      <c r="L26" s="276">
        <f>498.33*$T$9</f>
        <v>57726.4226175</v>
      </c>
      <c r="M26" s="276">
        <f>498.33*$T$9</f>
        <v>57726.4226175</v>
      </c>
      <c r="N26" s="121">
        <f t="shared" si="17"/>
        <v>692717.07140999986</v>
      </c>
    </row>
    <row r="27" spans="1:14" ht="15" x14ac:dyDescent="0.2">
      <c r="A27" s="120" t="s">
        <v>145</v>
      </c>
      <c r="B27" s="276">
        <f>498.33*$T$9</f>
        <v>57726.4226175</v>
      </c>
      <c r="C27" s="276">
        <f>498.33*$T$9</f>
        <v>57726.4226175</v>
      </c>
      <c r="D27" s="276">
        <f>498.33*$T$9</f>
        <v>57726.4226175</v>
      </c>
      <c r="E27" s="276">
        <f>498.33*$T$9</f>
        <v>57726.4226175</v>
      </c>
      <c r="F27" s="276">
        <f>498.33*$T$9</f>
        <v>57726.4226175</v>
      </c>
      <c r="G27" s="276">
        <f>498.33*$T$9</f>
        <v>57726.4226175</v>
      </c>
      <c r="H27" s="276">
        <f>498.33*$T$9</f>
        <v>57726.4226175</v>
      </c>
      <c r="I27" s="276">
        <f>498.33*$T$9</f>
        <v>57726.4226175</v>
      </c>
      <c r="J27" s="276">
        <f>498.33*$T$9</f>
        <v>57726.4226175</v>
      </c>
      <c r="K27" s="276">
        <f>498.33*$T$9</f>
        <v>57726.4226175</v>
      </c>
      <c r="L27" s="276">
        <f>498.33*$T$9</f>
        <v>57726.4226175</v>
      </c>
      <c r="M27" s="276">
        <f>498.33*$T$9</f>
        <v>57726.4226175</v>
      </c>
      <c r="N27" s="121">
        <f t="shared" si="17"/>
        <v>692717.07140999986</v>
      </c>
    </row>
    <row r="28" spans="1:14" ht="15" x14ac:dyDescent="0.2">
      <c r="A28" s="120" t="s">
        <v>146</v>
      </c>
      <c r="B28" s="276">
        <f>498.33*$T$9</f>
        <v>57726.4226175</v>
      </c>
      <c r="C28" s="276">
        <f>498.33*$T$9</f>
        <v>57726.4226175</v>
      </c>
      <c r="D28" s="276">
        <f>498.33*$T$9</f>
        <v>57726.4226175</v>
      </c>
      <c r="E28" s="276">
        <f>498.33*$T$9</f>
        <v>57726.4226175</v>
      </c>
      <c r="F28" s="276">
        <f>498.33*$T$9</f>
        <v>57726.4226175</v>
      </c>
      <c r="G28" s="276">
        <f>498.33*$T$9</f>
        <v>57726.4226175</v>
      </c>
      <c r="H28" s="276">
        <f>498.33*$T$9</f>
        <v>57726.4226175</v>
      </c>
      <c r="I28" s="276">
        <f>498.33*$T$9</f>
        <v>57726.4226175</v>
      </c>
      <c r="J28" s="276">
        <f>498.33*$T$9</f>
        <v>57726.4226175</v>
      </c>
      <c r="K28" s="276">
        <f>498.33*$T$9</f>
        <v>57726.4226175</v>
      </c>
      <c r="L28" s="276">
        <f>498.33*$T$9</f>
        <v>57726.4226175</v>
      </c>
      <c r="M28" s="276">
        <f>498.33*$T$9</f>
        <v>57726.4226175</v>
      </c>
      <c r="N28" s="121">
        <f t="shared" si="17"/>
        <v>692717.07140999986</v>
      </c>
    </row>
    <row r="29" spans="1:14" ht="15.75" x14ac:dyDescent="0.25">
      <c r="A29" s="4" t="s">
        <v>147</v>
      </c>
      <c r="B29" s="67">
        <f>SUM(B23:B28)</f>
        <v>346358.53570499999</v>
      </c>
      <c r="C29" s="67">
        <f t="shared" ref="C29:M29" si="18">SUM(C23:C28)</f>
        <v>346358.53570499999</v>
      </c>
      <c r="D29" s="67">
        <f t="shared" si="18"/>
        <v>346358.53570499999</v>
      </c>
      <c r="E29" s="67">
        <f t="shared" si="18"/>
        <v>346358.53570499999</v>
      </c>
      <c r="F29" s="67">
        <f t="shared" si="18"/>
        <v>346358.53570499999</v>
      </c>
      <c r="G29" s="67">
        <f t="shared" si="18"/>
        <v>346358.53570499999</v>
      </c>
      <c r="H29" s="67">
        <f t="shared" si="18"/>
        <v>346358.53570499999</v>
      </c>
      <c r="I29" s="67">
        <f t="shared" si="18"/>
        <v>346358.53570499999</v>
      </c>
      <c r="J29" s="67">
        <f t="shared" si="18"/>
        <v>346358.53570499999</v>
      </c>
      <c r="K29" s="67">
        <f t="shared" si="18"/>
        <v>346358.53570499999</v>
      </c>
      <c r="L29" s="67">
        <f t="shared" si="18"/>
        <v>346358.53570499999</v>
      </c>
      <c r="M29" s="67">
        <f t="shared" si="18"/>
        <v>346358.53570499999</v>
      </c>
      <c r="N29" s="123">
        <f>SUM(N23:N28)</f>
        <v>4156302.4284599992</v>
      </c>
    </row>
    <row r="32" spans="1:14" ht="15.75" x14ac:dyDescent="0.25">
      <c r="A32" s="548" t="s">
        <v>137</v>
      </c>
      <c r="B32" s="549" t="s">
        <v>496</v>
      </c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</row>
    <row r="33" spans="1:16" ht="15.75" x14ac:dyDescent="0.25">
      <c r="A33" s="118" t="s">
        <v>69</v>
      </c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</row>
    <row r="34" spans="1:16" ht="15.75" x14ac:dyDescent="0.25">
      <c r="A34" s="114" t="s">
        <v>139</v>
      </c>
      <c r="B34" s="329"/>
      <c r="C34" s="370"/>
      <c r="D34" s="370"/>
      <c r="E34" s="370"/>
      <c r="F34" s="370"/>
      <c r="G34" s="370"/>
      <c r="H34" s="370"/>
      <c r="I34" s="370"/>
      <c r="J34" s="370"/>
      <c r="K34" s="370"/>
      <c r="L34" s="370"/>
      <c r="M34" s="370"/>
      <c r="N34" s="119"/>
    </row>
    <row r="35" spans="1:16" ht="15" x14ac:dyDescent="0.2">
      <c r="A35" s="120" t="s">
        <v>141</v>
      </c>
      <c r="B35" s="276">
        <f>498.33*$U$9</f>
        <v>62921.800653075014</v>
      </c>
      <c r="C35" s="276">
        <f>498.33*$U$9</f>
        <v>62921.800653075014</v>
      </c>
      <c r="D35" s="276">
        <f>498.33*$U$9</f>
        <v>62921.800653075014</v>
      </c>
      <c r="E35" s="276">
        <f>498.33*$U$9</f>
        <v>62921.800653075014</v>
      </c>
      <c r="F35" s="276">
        <f>498.33*$U$9</f>
        <v>62921.800653075014</v>
      </c>
      <c r="G35" s="276">
        <f>498.33*$U$9</f>
        <v>62921.800653075014</v>
      </c>
      <c r="H35" s="276">
        <f>498.33*$U$9</f>
        <v>62921.800653075014</v>
      </c>
      <c r="I35" s="276">
        <f>498.33*$U$9</f>
        <v>62921.800653075014</v>
      </c>
      <c r="J35" s="276">
        <f>498.33*$U$9</f>
        <v>62921.800653075014</v>
      </c>
      <c r="K35" s="276">
        <f>498.33*$U$9</f>
        <v>62921.800653075014</v>
      </c>
      <c r="L35" s="276">
        <f>498.33*$U$9</f>
        <v>62921.800653075014</v>
      </c>
      <c r="M35" s="276">
        <f>498.33*$U$9</f>
        <v>62921.800653075014</v>
      </c>
      <c r="N35" s="121">
        <f>SUM(B35:M35)</f>
        <v>755061.60783689993</v>
      </c>
    </row>
    <row r="36" spans="1:16" ht="15" x14ac:dyDescent="0.2">
      <c r="A36" s="120" t="s">
        <v>142</v>
      </c>
      <c r="B36" s="276">
        <f>498.33*$U$9</f>
        <v>62921.800653075014</v>
      </c>
      <c r="C36" s="276">
        <f>498.33*$U$9</f>
        <v>62921.800653075014</v>
      </c>
      <c r="D36" s="276">
        <f>498.33*$U$9</f>
        <v>62921.800653075014</v>
      </c>
      <c r="E36" s="276">
        <f>498.33*$U$9</f>
        <v>62921.800653075014</v>
      </c>
      <c r="F36" s="276">
        <f>498.33*$U$9</f>
        <v>62921.800653075014</v>
      </c>
      <c r="G36" s="276">
        <f>498.33*$U$9</f>
        <v>62921.800653075014</v>
      </c>
      <c r="H36" s="276">
        <f>498.33*$U$9</f>
        <v>62921.800653075014</v>
      </c>
      <c r="I36" s="276">
        <f>498.33*$U$9</f>
        <v>62921.800653075014</v>
      </c>
      <c r="J36" s="276">
        <f>498.33*$U$9</f>
        <v>62921.800653075014</v>
      </c>
      <c r="K36" s="276">
        <f>498.33*$U$9</f>
        <v>62921.800653075014</v>
      </c>
      <c r="L36" s="276">
        <f>498.33*$U$9</f>
        <v>62921.800653075014</v>
      </c>
      <c r="M36" s="276">
        <f>498.33*$U$9</f>
        <v>62921.800653075014</v>
      </c>
      <c r="N36" s="121">
        <f t="shared" ref="N36:N40" si="19">SUM(B36:M36)</f>
        <v>755061.60783689993</v>
      </c>
    </row>
    <row r="37" spans="1:16" ht="15" x14ac:dyDescent="0.2">
      <c r="A37" s="120" t="s">
        <v>143</v>
      </c>
      <c r="B37" s="276">
        <f>498.33*$U$9</f>
        <v>62921.800653075014</v>
      </c>
      <c r="C37" s="276">
        <f>498.33*$U$9</f>
        <v>62921.800653075014</v>
      </c>
      <c r="D37" s="276">
        <f>498.33*$U$9</f>
        <v>62921.800653075014</v>
      </c>
      <c r="E37" s="276">
        <f>498.33*$U$9</f>
        <v>62921.800653075014</v>
      </c>
      <c r="F37" s="276">
        <f>498.33*$U$9</f>
        <v>62921.800653075014</v>
      </c>
      <c r="G37" s="276">
        <f>498.33*$U$9</f>
        <v>62921.800653075014</v>
      </c>
      <c r="H37" s="276">
        <f>498.33*$U$9</f>
        <v>62921.800653075014</v>
      </c>
      <c r="I37" s="276">
        <f>498.33*$U$9</f>
        <v>62921.800653075014</v>
      </c>
      <c r="J37" s="276">
        <f>498.33*$U$9</f>
        <v>62921.800653075014</v>
      </c>
      <c r="K37" s="276">
        <f>498.33*$U$9</f>
        <v>62921.800653075014</v>
      </c>
      <c r="L37" s="276">
        <f>498.33*$U$9</f>
        <v>62921.800653075014</v>
      </c>
      <c r="M37" s="276">
        <f>498.33*$U$9</f>
        <v>62921.800653075014</v>
      </c>
      <c r="N37" s="121">
        <f t="shared" si="19"/>
        <v>755061.60783689993</v>
      </c>
    </row>
    <row r="38" spans="1:16" ht="15" x14ac:dyDescent="0.2">
      <c r="A38" s="120" t="s">
        <v>144</v>
      </c>
      <c r="B38" s="276">
        <f>498.33*$U$9</f>
        <v>62921.800653075014</v>
      </c>
      <c r="C38" s="276">
        <f>498.33*$U$9</f>
        <v>62921.800653075014</v>
      </c>
      <c r="D38" s="276">
        <f>498.33*$U$9</f>
        <v>62921.800653075014</v>
      </c>
      <c r="E38" s="276">
        <f>498.33*$U$9</f>
        <v>62921.800653075014</v>
      </c>
      <c r="F38" s="276">
        <f>498.33*$U$9</f>
        <v>62921.800653075014</v>
      </c>
      <c r="G38" s="276">
        <f>498.33*$U$9</f>
        <v>62921.800653075014</v>
      </c>
      <c r="H38" s="276">
        <f>498.33*$U$9</f>
        <v>62921.800653075014</v>
      </c>
      <c r="I38" s="276">
        <f>498.33*$U$9</f>
        <v>62921.800653075014</v>
      </c>
      <c r="J38" s="276">
        <f>498.33*$U$9</f>
        <v>62921.800653075014</v>
      </c>
      <c r="K38" s="276">
        <f>498.33*$U$9</f>
        <v>62921.800653075014</v>
      </c>
      <c r="L38" s="276">
        <f>498.33*$U$9</f>
        <v>62921.800653075014</v>
      </c>
      <c r="M38" s="276">
        <f>498.33*$U$9</f>
        <v>62921.800653075014</v>
      </c>
      <c r="N38" s="121">
        <f t="shared" si="19"/>
        <v>755061.60783689993</v>
      </c>
      <c r="P38" s="279"/>
    </row>
    <row r="39" spans="1:16" ht="15" x14ac:dyDescent="0.2">
      <c r="A39" s="120" t="s">
        <v>145</v>
      </c>
      <c r="B39" s="276">
        <f>498.33*$U$9</f>
        <v>62921.800653075014</v>
      </c>
      <c r="C39" s="276">
        <f>498.33*$U$9</f>
        <v>62921.800653075014</v>
      </c>
      <c r="D39" s="276">
        <f>498.33*$U$9</f>
        <v>62921.800653075014</v>
      </c>
      <c r="E39" s="276">
        <f>498.33*$U$9</f>
        <v>62921.800653075014</v>
      </c>
      <c r="F39" s="276">
        <f>498.33*$U$9</f>
        <v>62921.800653075014</v>
      </c>
      <c r="G39" s="276">
        <f>498.33*$U$9</f>
        <v>62921.800653075014</v>
      </c>
      <c r="H39" s="276">
        <f>498.33*$U$9</f>
        <v>62921.800653075014</v>
      </c>
      <c r="I39" s="276">
        <f>498.33*$U$9</f>
        <v>62921.800653075014</v>
      </c>
      <c r="J39" s="276">
        <f>498.33*$U$9</f>
        <v>62921.800653075014</v>
      </c>
      <c r="K39" s="276">
        <f>498.33*$U$9</f>
        <v>62921.800653075014</v>
      </c>
      <c r="L39" s="276">
        <f>498.33*$U$9</f>
        <v>62921.800653075014</v>
      </c>
      <c r="M39" s="276">
        <f>498.33*$U$9</f>
        <v>62921.800653075014</v>
      </c>
      <c r="N39" s="121">
        <f t="shared" si="19"/>
        <v>755061.60783689993</v>
      </c>
    </row>
    <row r="40" spans="1:16" ht="15" x14ac:dyDescent="0.2">
      <c r="A40" s="120" t="s">
        <v>146</v>
      </c>
      <c r="B40" s="276">
        <f>498.33*$U$9</f>
        <v>62921.800653075014</v>
      </c>
      <c r="C40" s="276">
        <f>498.33*$U$9</f>
        <v>62921.800653075014</v>
      </c>
      <c r="D40" s="276">
        <f>498.33*$U$9</f>
        <v>62921.800653075014</v>
      </c>
      <c r="E40" s="276">
        <f>498.33*$U$9</f>
        <v>62921.800653075014</v>
      </c>
      <c r="F40" s="276">
        <f>498.33*$U$9</f>
        <v>62921.800653075014</v>
      </c>
      <c r="G40" s="276">
        <f>498.33*$U$9</f>
        <v>62921.800653075014</v>
      </c>
      <c r="H40" s="276">
        <f>498.33*$U$9</f>
        <v>62921.800653075014</v>
      </c>
      <c r="I40" s="276">
        <f>498.33*$U$9</f>
        <v>62921.800653075014</v>
      </c>
      <c r="J40" s="276">
        <f>498.33*$U$9</f>
        <v>62921.800653075014</v>
      </c>
      <c r="K40" s="276">
        <f>498.33*$U$9</f>
        <v>62921.800653075014</v>
      </c>
      <c r="L40" s="276">
        <f>498.33*$U$9</f>
        <v>62921.800653075014</v>
      </c>
      <c r="M40" s="276">
        <f>498.33*$U$9</f>
        <v>62921.800653075014</v>
      </c>
      <c r="N40" s="121">
        <f t="shared" si="19"/>
        <v>755061.60783689993</v>
      </c>
    </row>
    <row r="41" spans="1:16" ht="15.75" x14ac:dyDescent="0.25">
      <c r="A41" s="4" t="s">
        <v>147</v>
      </c>
      <c r="B41" s="276">
        <f t="shared" ref="B41:L41" si="20">SUM(B35:B40)</f>
        <v>377530.80391845002</v>
      </c>
      <c r="C41" s="276">
        <f t="shared" si="20"/>
        <v>377530.80391845002</v>
      </c>
      <c r="D41" s="276">
        <f t="shared" si="20"/>
        <v>377530.80391845002</v>
      </c>
      <c r="E41" s="276">
        <f t="shared" si="20"/>
        <v>377530.80391845002</v>
      </c>
      <c r="F41" s="276">
        <f t="shared" si="20"/>
        <v>377530.80391845002</v>
      </c>
      <c r="G41" s="276">
        <f t="shared" si="20"/>
        <v>377530.80391845002</v>
      </c>
      <c r="H41" s="276">
        <f t="shared" si="20"/>
        <v>377530.80391845002</v>
      </c>
      <c r="I41" s="276">
        <f t="shared" si="20"/>
        <v>377530.80391845002</v>
      </c>
      <c r="J41" s="276">
        <f t="shared" si="20"/>
        <v>377530.80391845002</v>
      </c>
      <c r="K41" s="276">
        <f t="shared" si="20"/>
        <v>377530.80391845002</v>
      </c>
      <c r="L41" s="276">
        <f t="shared" si="20"/>
        <v>377530.80391845002</v>
      </c>
      <c r="M41" s="276">
        <f>SUM(M35:M40)</f>
        <v>377530.80391845002</v>
      </c>
      <c r="N41" s="123">
        <f>SUM(N35:N40)</f>
        <v>4530369.6470213998</v>
      </c>
    </row>
    <row r="44" spans="1:16" ht="15.75" x14ac:dyDescent="0.25">
      <c r="A44" s="548" t="s">
        <v>137</v>
      </c>
      <c r="B44" s="549" t="s">
        <v>497</v>
      </c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</row>
    <row r="45" spans="1:16" ht="15.75" x14ac:dyDescent="0.25">
      <c r="A45" s="118" t="s">
        <v>69</v>
      </c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</row>
    <row r="46" spans="1:16" ht="15.75" x14ac:dyDescent="0.25">
      <c r="A46" s="114" t="s">
        <v>139</v>
      </c>
      <c r="B46" s="329"/>
      <c r="C46" s="370"/>
      <c r="D46" s="370"/>
      <c r="E46" s="370"/>
      <c r="F46" s="370"/>
      <c r="G46" s="370"/>
      <c r="H46" s="370"/>
      <c r="I46" s="370"/>
      <c r="J46" s="370"/>
      <c r="K46" s="370"/>
      <c r="L46" s="370"/>
      <c r="M46" s="370"/>
      <c r="N46" s="119"/>
    </row>
    <row r="47" spans="1:16" ht="15" x14ac:dyDescent="0.2">
      <c r="A47" s="120" t="s">
        <v>141</v>
      </c>
      <c r="B47" s="276">
        <f>498.33*$V$9</f>
        <v>68584.76271185177</v>
      </c>
      <c r="C47" s="276">
        <f>498.33*$V$9</f>
        <v>68584.76271185177</v>
      </c>
      <c r="D47" s="276">
        <f>498.33*$V$9</f>
        <v>68584.76271185177</v>
      </c>
      <c r="E47" s="276">
        <f>498.33*$V$9</f>
        <v>68584.76271185177</v>
      </c>
      <c r="F47" s="276">
        <f>498.33*$V$9</f>
        <v>68584.76271185177</v>
      </c>
      <c r="G47" s="276">
        <f>498.33*$V$9</f>
        <v>68584.76271185177</v>
      </c>
      <c r="H47" s="276">
        <f>498.33*$V$9</f>
        <v>68584.76271185177</v>
      </c>
      <c r="I47" s="276">
        <f>498.33*$V$9</f>
        <v>68584.76271185177</v>
      </c>
      <c r="J47" s="276">
        <f>498.33*$V$9</f>
        <v>68584.76271185177</v>
      </c>
      <c r="K47" s="276">
        <f>498.33*$V$9</f>
        <v>68584.76271185177</v>
      </c>
      <c r="L47" s="276">
        <f>498.33*$V$9</f>
        <v>68584.76271185177</v>
      </c>
      <c r="M47" s="276">
        <f>498.33*$V$9</f>
        <v>68584.76271185177</v>
      </c>
      <c r="N47" s="121">
        <f>SUM(B47:M47)</f>
        <v>823017.15254222101</v>
      </c>
    </row>
    <row r="48" spans="1:16" ht="15" x14ac:dyDescent="0.2">
      <c r="A48" s="120" t="s">
        <v>142</v>
      </c>
      <c r="B48" s="276">
        <f>498.33*$V$9</f>
        <v>68584.76271185177</v>
      </c>
      <c r="C48" s="276">
        <f>498.33*$V$9</f>
        <v>68584.76271185177</v>
      </c>
      <c r="D48" s="276">
        <f>498.33*$V$9</f>
        <v>68584.76271185177</v>
      </c>
      <c r="E48" s="276">
        <f>498.33*$V$9</f>
        <v>68584.76271185177</v>
      </c>
      <c r="F48" s="276">
        <f>498.33*$V$9</f>
        <v>68584.76271185177</v>
      </c>
      <c r="G48" s="276">
        <f>498.33*$V$9</f>
        <v>68584.76271185177</v>
      </c>
      <c r="H48" s="276">
        <f>498.33*$V$9</f>
        <v>68584.76271185177</v>
      </c>
      <c r="I48" s="276">
        <f>498.33*$V$9</f>
        <v>68584.76271185177</v>
      </c>
      <c r="J48" s="276">
        <f>498.33*$V$9</f>
        <v>68584.76271185177</v>
      </c>
      <c r="K48" s="276">
        <f>498.33*$V$9</f>
        <v>68584.76271185177</v>
      </c>
      <c r="L48" s="276">
        <f>498.33*$V$9</f>
        <v>68584.76271185177</v>
      </c>
      <c r="M48" s="276">
        <f>498.33*$V$9</f>
        <v>68584.76271185177</v>
      </c>
      <c r="N48" s="121">
        <f t="shared" ref="N48:N52" si="21">SUM(B48:M48)</f>
        <v>823017.15254222101</v>
      </c>
    </row>
    <row r="49" spans="1:14" ht="15" x14ac:dyDescent="0.2">
      <c r="A49" s="120" t="s">
        <v>143</v>
      </c>
      <c r="B49" s="276">
        <f>498.33*$V$9</f>
        <v>68584.76271185177</v>
      </c>
      <c r="C49" s="276">
        <f>498.33*$V$9</f>
        <v>68584.76271185177</v>
      </c>
      <c r="D49" s="276">
        <f>498.33*$V$9</f>
        <v>68584.76271185177</v>
      </c>
      <c r="E49" s="276">
        <f>498.33*$V$9</f>
        <v>68584.76271185177</v>
      </c>
      <c r="F49" s="276">
        <f>498.33*$V$9</f>
        <v>68584.76271185177</v>
      </c>
      <c r="G49" s="276">
        <f>498.33*$V$9</f>
        <v>68584.76271185177</v>
      </c>
      <c r="H49" s="276">
        <f>498.33*$V$9</f>
        <v>68584.76271185177</v>
      </c>
      <c r="I49" s="276">
        <f>498.33*$V$9</f>
        <v>68584.76271185177</v>
      </c>
      <c r="J49" s="276">
        <f>498.33*$V$9</f>
        <v>68584.76271185177</v>
      </c>
      <c r="K49" s="276">
        <f>498.33*$V$9</f>
        <v>68584.76271185177</v>
      </c>
      <c r="L49" s="276">
        <f>498.33*$V$9</f>
        <v>68584.76271185177</v>
      </c>
      <c r="M49" s="276">
        <f>498.33*$V$9</f>
        <v>68584.76271185177</v>
      </c>
      <c r="N49" s="121">
        <f t="shared" si="21"/>
        <v>823017.15254222101</v>
      </c>
    </row>
    <row r="50" spans="1:14" ht="15" x14ac:dyDescent="0.2">
      <c r="A50" s="120" t="s">
        <v>144</v>
      </c>
      <c r="B50" s="276">
        <f>498.33*$V$9</f>
        <v>68584.76271185177</v>
      </c>
      <c r="C50" s="276">
        <f>498.33*$V$9</f>
        <v>68584.76271185177</v>
      </c>
      <c r="D50" s="276">
        <f>498.33*$V$9</f>
        <v>68584.76271185177</v>
      </c>
      <c r="E50" s="276">
        <f>498.33*$V$9</f>
        <v>68584.76271185177</v>
      </c>
      <c r="F50" s="276">
        <f>498.33*$V$9</f>
        <v>68584.76271185177</v>
      </c>
      <c r="G50" s="276">
        <f>498.33*$V$9</f>
        <v>68584.76271185177</v>
      </c>
      <c r="H50" s="276">
        <f>498.33*$V$9</f>
        <v>68584.76271185177</v>
      </c>
      <c r="I50" s="276">
        <f>498.33*$V$9</f>
        <v>68584.76271185177</v>
      </c>
      <c r="J50" s="276">
        <f>498.33*$V$9</f>
        <v>68584.76271185177</v>
      </c>
      <c r="K50" s="276">
        <f>498.33*$V$9</f>
        <v>68584.76271185177</v>
      </c>
      <c r="L50" s="276">
        <f>498.33*$V$9</f>
        <v>68584.76271185177</v>
      </c>
      <c r="M50" s="276">
        <f>498.33*$V$9</f>
        <v>68584.76271185177</v>
      </c>
      <c r="N50" s="121">
        <f t="shared" si="21"/>
        <v>823017.15254222101</v>
      </c>
    </row>
    <row r="51" spans="1:14" ht="15" x14ac:dyDescent="0.2">
      <c r="A51" s="120" t="s">
        <v>145</v>
      </c>
      <c r="B51" s="276">
        <f>498.33*$V$9</f>
        <v>68584.76271185177</v>
      </c>
      <c r="C51" s="276">
        <f>498.33*$V$9</f>
        <v>68584.76271185177</v>
      </c>
      <c r="D51" s="276">
        <f>498.33*$V$9</f>
        <v>68584.76271185177</v>
      </c>
      <c r="E51" s="276">
        <f>498.33*$V$9</f>
        <v>68584.76271185177</v>
      </c>
      <c r="F51" s="276">
        <f>498.33*$V$9</f>
        <v>68584.76271185177</v>
      </c>
      <c r="G51" s="276">
        <f>498.33*$V$9</f>
        <v>68584.76271185177</v>
      </c>
      <c r="H51" s="276">
        <f>498.33*$V$9</f>
        <v>68584.76271185177</v>
      </c>
      <c r="I51" s="276">
        <f>498.33*$V$9</f>
        <v>68584.76271185177</v>
      </c>
      <c r="J51" s="276">
        <f>498.33*$V$9</f>
        <v>68584.76271185177</v>
      </c>
      <c r="K51" s="276">
        <f>498.33*$V$9</f>
        <v>68584.76271185177</v>
      </c>
      <c r="L51" s="276">
        <f>498.33*$V$9</f>
        <v>68584.76271185177</v>
      </c>
      <c r="M51" s="276">
        <f>498.33*$V$9</f>
        <v>68584.76271185177</v>
      </c>
      <c r="N51" s="121">
        <f t="shared" si="21"/>
        <v>823017.15254222101</v>
      </c>
    </row>
    <row r="52" spans="1:14" ht="15" x14ac:dyDescent="0.2">
      <c r="A52" s="120" t="s">
        <v>146</v>
      </c>
      <c r="B52" s="276">
        <f>498.33*$V$9</f>
        <v>68584.76271185177</v>
      </c>
      <c r="C52" s="276">
        <f>498.33*$V$9</f>
        <v>68584.76271185177</v>
      </c>
      <c r="D52" s="276">
        <f>498.33*$V$9</f>
        <v>68584.76271185177</v>
      </c>
      <c r="E52" s="276">
        <f>498.33*$V$9</f>
        <v>68584.76271185177</v>
      </c>
      <c r="F52" s="276">
        <f>498.33*$V$9</f>
        <v>68584.76271185177</v>
      </c>
      <c r="G52" s="276">
        <f>498.33*$V$9</f>
        <v>68584.76271185177</v>
      </c>
      <c r="H52" s="276">
        <f>498.33*$V$9</f>
        <v>68584.76271185177</v>
      </c>
      <c r="I52" s="276">
        <f>498.33*$V$9</f>
        <v>68584.76271185177</v>
      </c>
      <c r="J52" s="276">
        <f>498.33*$V$9</f>
        <v>68584.76271185177</v>
      </c>
      <c r="K52" s="276">
        <f>498.33*$V$9</f>
        <v>68584.76271185177</v>
      </c>
      <c r="L52" s="276">
        <f>498.33*$V$9</f>
        <v>68584.76271185177</v>
      </c>
      <c r="M52" s="276">
        <f>498.33*$V$9</f>
        <v>68584.76271185177</v>
      </c>
      <c r="N52" s="121">
        <f t="shared" si="21"/>
        <v>823017.15254222101</v>
      </c>
    </row>
    <row r="53" spans="1:14" ht="15.75" x14ac:dyDescent="0.25">
      <c r="A53" s="4" t="s">
        <v>147</v>
      </c>
      <c r="B53" s="276">
        <f>SUM(B47:B52)</f>
        <v>411508.57627111056</v>
      </c>
      <c r="C53" s="276">
        <f t="shared" ref="C53:M53" si="22">SUM(C47:C52)</f>
        <v>411508.57627111056</v>
      </c>
      <c r="D53" s="276">
        <f t="shared" si="22"/>
        <v>411508.57627111056</v>
      </c>
      <c r="E53" s="276">
        <f t="shared" si="22"/>
        <v>411508.57627111056</v>
      </c>
      <c r="F53" s="276">
        <f t="shared" si="22"/>
        <v>411508.57627111056</v>
      </c>
      <c r="G53" s="276">
        <f t="shared" si="22"/>
        <v>411508.57627111056</v>
      </c>
      <c r="H53" s="276">
        <f t="shared" si="22"/>
        <v>411508.57627111056</v>
      </c>
      <c r="I53" s="276">
        <f t="shared" si="22"/>
        <v>411508.57627111056</v>
      </c>
      <c r="J53" s="276">
        <f t="shared" si="22"/>
        <v>411508.57627111056</v>
      </c>
      <c r="K53" s="276">
        <f t="shared" si="22"/>
        <v>411508.57627111056</v>
      </c>
      <c r="L53" s="276">
        <f t="shared" si="22"/>
        <v>411508.57627111056</v>
      </c>
      <c r="M53" s="276">
        <f t="shared" si="22"/>
        <v>411508.57627111056</v>
      </c>
      <c r="N53" s="123">
        <f>SUM(N47:N52)</f>
        <v>4938102.9152533263</v>
      </c>
    </row>
    <row r="55" spans="1:14" ht="13.5" thickBot="1" x14ac:dyDescent="0.25"/>
    <row r="56" spans="1:14" ht="15.75" x14ac:dyDescent="0.25">
      <c r="A56" s="548" t="s">
        <v>137</v>
      </c>
      <c r="B56" s="549" t="s">
        <v>498</v>
      </c>
      <c r="C56" s="549"/>
      <c r="D56" s="549"/>
      <c r="E56" s="549"/>
      <c r="F56" s="549"/>
      <c r="G56" s="549"/>
      <c r="H56" s="549"/>
      <c r="I56" s="549"/>
      <c r="J56" s="549"/>
      <c r="K56" s="549"/>
      <c r="L56" s="549"/>
      <c r="M56" s="549"/>
      <c r="N56" s="549"/>
    </row>
    <row r="57" spans="1:14" ht="15.75" x14ac:dyDescent="0.25">
      <c r="A57" s="118" t="s">
        <v>69</v>
      </c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</row>
    <row r="58" spans="1:14" ht="15.75" x14ac:dyDescent="0.25">
      <c r="A58" s="114" t="s">
        <v>139</v>
      </c>
      <c r="B58" s="329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119"/>
    </row>
    <row r="59" spans="1:14" ht="15" x14ac:dyDescent="0.2">
      <c r="A59" s="120" t="s">
        <v>141</v>
      </c>
      <c r="B59" s="276">
        <f>498.33*$W$9</f>
        <v>74757.391355918429</v>
      </c>
      <c r="C59" s="276">
        <f>498.33*$W$9</f>
        <v>74757.391355918429</v>
      </c>
      <c r="D59" s="276">
        <f>498.33*$W$9</f>
        <v>74757.391355918429</v>
      </c>
      <c r="E59" s="276">
        <f>498.33*$W$9</f>
        <v>74757.391355918429</v>
      </c>
      <c r="F59" s="276">
        <f>498.33*$W$9</f>
        <v>74757.391355918429</v>
      </c>
      <c r="G59" s="276">
        <f>498.33*$W$9</f>
        <v>74757.391355918429</v>
      </c>
      <c r="H59" s="276">
        <f>498.33*$W$9</f>
        <v>74757.391355918429</v>
      </c>
      <c r="I59" s="276">
        <f>498.33*$W$9</f>
        <v>74757.391355918429</v>
      </c>
      <c r="J59" s="276">
        <f>498.33*$W$9</f>
        <v>74757.391355918429</v>
      </c>
      <c r="K59" s="276">
        <f>498.33*$W$9</f>
        <v>74757.391355918429</v>
      </c>
      <c r="L59" s="276">
        <f>498.33*$W$9</f>
        <v>74757.391355918429</v>
      </c>
      <c r="M59" s="276">
        <f>498.33*$W$9</f>
        <v>74757.391355918429</v>
      </c>
      <c r="N59" s="121">
        <f>SUM(B59:M59)</f>
        <v>897088.69627102138</v>
      </c>
    </row>
    <row r="60" spans="1:14" ht="15" x14ac:dyDescent="0.2">
      <c r="A60" s="120" t="s">
        <v>142</v>
      </c>
      <c r="B60" s="276">
        <f>498.33*$W$9</f>
        <v>74757.391355918429</v>
      </c>
      <c r="C60" s="276">
        <f>498.33*$W$9</f>
        <v>74757.391355918429</v>
      </c>
      <c r="D60" s="276">
        <f>498.33*$W$9</f>
        <v>74757.391355918429</v>
      </c>
      <c r="E60" s="276">
        <f>498.33*$W$9</f>
        <v>74757.391355918429</v>
      </c>
      <c r="F60" s="276">
        <f>498.33*$W$9</f>
        <v>74757.391355918429</v>
      </c>
      <c r="G60" s="276">
        <f>498.33*$W$9</f>
        <v>74757.391355918429</v>
      </c>
      <c r="H60" s="276">
        <f>498.33*$W$9</f>
        <v>74757.391355918429</v>
      </c>
      <c r="I60" s="276">
        <f>498.33*$W$9</f>
        <v>74757.391355918429</v>
      </c>
      <c r="J60" s="276">
        <f>498.33*$W$9</f>
        <v>74757.391355918429</v>
      </c>
      <c r="K60" s="276">
        <f>498.33*$W$9</f>
        <v>74757.391355918429</v>
      </c>
      <c r="L60" s="276">
        <f>498.33*$W$9</f>
        <v>74757.391355918429</v>
      </c>
      <c r="M60" s="276">
        <f>498.33*$W$9</f>
        <v>74757.391355918429</v>
      </c>
      <c r="N60" s="121">
        <f t="shared" ref="N60:N64" si="23">SUM(B60:M60)</f>
        <v>897088.69627102138</v>
      </c>
    </row>
    <row r="61" spans="1:14" ht="15" x14ac:dyDescent="0.2">
      <c r="A61" s="120" t="s">
        <v>143</v>
      </c>
      <c r="B61" s="276">
        <f>498.33*$W$9</f>
        <v>74757.391355918429</v>
      </c>
      <c r="C61" s="276">
        <f>498.33*$W$9</f>
        <v>74757.391355918429</v>
      </c>
      <c r="D61" s="276">
        <f>498.33*$W$9</f>
        <v>74757.391355918429</v>
      </c>
      <c r="E61" s="276">
        <f>498.33*$W$9</f>
        <v>74757.391355918429</v>
      </c>
      <c r="F61" s="276">
        <f>498.33*$W$9</f>
        <v>74757.391355918429</v>
      </c>
      <c r="G61" s="276">
        <f>498.33*$W$9</f>
        <v>74757.391355918429</v>
      </c>
      <c r="H61" s="276">
        <f>498.33*$W$9</f>
        <v>74757.391355918429</v>
      </c>
      <c r="I61" s="276">
        <f>498.33*$W$9</f>
        <v>74757.391355918429</v>
      </c>
      <c r="J61" s="276">
        <f>498.33*$W$9</f>
        <v>74757.391355918429</v>
      </c>
      <c r="K61" s="276">
        <f>498.33*$W$9</f>
        <v>74757.391355918429</v>
      </c>
      <c r="L61" s="276">
        <f>498.33*$W$9</f>
        <v>74757.391355918429</v>
      </c>
      <c r="M61" s="276">
        <f>498.33*$W$9</f>
        <v>74757.391355918429</v>
      </c>
      <c r="N61" s="121">
        <f t="shared" si="23"/>
        <v>897088.69627102138</v>
      </c>
    </row>
    <row r="62" spans="1:14" ht="15" x14ac:dyDescent="0.2">
      <c r="A62" s="120" t="s">
        <v>144</v>
      </c>
      <c r="B62" s="276">
        <f>498.33*$W$9</f>
        <v>74757.391355918429</v>
      </c>
      <c r="C62" s="276">
        <f>498.33*$W$9</f>
        <v>74757.391355918429</v>
      </c>
      <c r="D62" s="276">
        <f>498.33*$W$9</f>
        <v>74757.391355918429</v>
      </c>
      <c r="E62" s="276">
        <f>498.33*$W$9</f>
        <v>74757.391355918429</v>
      </c>
      <c r="F62" s="276">
        <f>498.33*$W$9</f>
        <v>74757.391355918429</v>
      </c>
      <c r="G62" s="276">
        <f>498.33*$W$9</f>
        <v>74757.391355918429</v>
      </c>
      <c r="H62" s="276">
        <f>498.33*$W$9</f>
        <v>74757.391355918429</v>
      </c>
      <c r="I62" s="276">
        <f>498.33*$W$9</f>
        <v>74757.391355918429</v>
      </c>
      <c r="J62" s="276">
        <f>498.33*$W$9</f>
        <v>74757.391355918429</v>
      </c>
      <c r="K62" s="276">
        <f>498.33*$W$9</f>
        <v>74757.391355918429</v>
      </c>
      <c r="L62" s="276">
        <f>498.33*$W$9</f>
        <v>74757.391355918429</v>
      </c>
      <c r="M62" s="276">
        <f>498.33*$W$9</f>
        <v>74757.391355918429</v>
      </c>
      <c r="N62" s="121">
        <f t="shared" si="23"/>
        <v>897088.69627102138</v>
      </c>
    </row>
    <row r="63" spans="1:14" ht="15" x14ac:dyDescent="0.2">
      <c r="A63" s="120" t="s">
        <v>145</v>
      </c>
      <c r="B63" s="276">
        <f>498.33*$W$9</f>
        <v>74757.391355918429</v>
      </c>
      <c r="C63" s="276">
        <f>498.33*$W$9</f>
        <v>74757.391355918429</v>
      </c>
      <c r="D63" s="276">
        <f>498.33*$W$9</f>
        <v>74757.391355918429</v>
      </c>
      <c r="E63" s="276">
        <f>498.33*$W$9</f>
        <v>74757.391355918429</v>
      </c>
      <c r="F63" s="276">
        <f>498.33*$W$9</f>
        <v>74757.391355918429</v>
      </c>
      <c r="G63" s="276">
        <f>498.33*$W$9</f>
        <v>74757.391355918429</v>
      </c>
      <c r="H63" s="276">
        <f>498.33*$W$9</f>
        <v>74757.391355918429</v>
      </c>
      <c r="I63" s="276">
        <f>498.33*$W$9</f>
        <v>74757.391355918429</v>
      </c>
      <c r="J63" s="276">
        <f>498.33*$W$9</f>
        <v>74757.391355918429</v>
      </c>
      <c r="K63" s="276">
        <f>498.33*$W$9</f>
        <v>74757.391355918429</v>
      </c>
      <c r="L63" s="276">
        <f>498.33*$W$9</f>
        <v>74757.391355918429</v>
      </c>
      <c r="M63" s="276">
        <f>498.33*$W$9</f>
        <v>74757.391355918429</v>
      </c>
      <c r="N63" s="121">
        <f t="shared" si="23"/>
        <v>897088.69627102138</v>
      </c>
    </row>
    <row r="64" spans="1:14" ht="15" x14ac:dyDescent="0.2">
      <c r="A64" s="120" t="s">
        <v>146</v>
      </c>
      <c r="B64" s="276">
        <f>498.33*$W$9</f>
        <v>74757.391355918429</v>
      </c>
      <c r="C64" s="276">
        <f>498.33*$W$9</f>
        <v>74757.391355918429</v>
      </c>
      <c r="D64" s="276">
        <f>498.33*$W$9</f>
        <v>74757.391355918429</v>
      </c>
      <c r="E64" s="276">
        <f>498.33*$W$9</f>
        <v>74757.391355918429</v>
      </c>
      <c r="F64" s="276">
        <f>498.33*$W$9</f>
        <v>74757.391355918429</v>
      </c>
      <c r="G64" s="276">
        <f>498.33*$W$9</f>
        <v>74757.391355918429</v>
      </c>
      <c r="H64" s="276">
        <f>498.33*$W$9</f>
        <v>74757.391355918429</v>
      </c>
      <c r="I64" s="276">
        <f>498.33*$W$9</f>
        <v>74757.391355918429</v>
      </c>
      <c r="J64" s="276">
        <f>498.33*$W$9</f>
        <v>74757.391355918429</v>
      </c>
      <c r="K64" s="276">
        <f>498.33*$W$9</f>
        <v>74757.391355918429</v>
      </c>
      <c r="L64" s="276">
        <f>498.33*$W$9</f>
        <v>74757.391355918429</v>
      </c>
      <c r="M64" s="276">
        <f>498.33*$W$9</f>
        <v>74757.391355918429</v>
      </c>
      <c r="N64" s="121">
        <f t="shared" si="23"/>
        <v>897088.69627102138</v>
      </c>
    </row>
    <row r="65" spans="1:14" ht="15.75" x14ac:dyDescent="0.25">
      <c r="A65" s="4" t="s">
        <v>147</v>
      </c>
      <c r="B65" s="276">
        <f>SUM(B59:B64)</f>
        <v>448544.34813551058</v>
      </c>
      <c r="C65" s="276">
        <f t="shared" ref="C65" si="24">SUM(C59:C64)</f>
        <v>448544.34813551058</v>
      </c>
      <c r="D65" s="276">
        <f t="shared" ref="D65" si="25">SUM(D59:D64)</f>
        <v>448544.34813551058</v>
      </c>
      <c r="E65" s="276">
        <f t="shared" ref="E65" si="26">SUM(E59:E64)</f>
        <v>448544.34813551058</v>
      </c>
      <c r="F65" s="276">
        <f t="shared" ref="F65" si="27">SUM(F59:F64)</f>
        <v>448544.34813551058</v>
      </c>
      <c r="G65" s="276">
        <f t="shared" ref="G65" si="28">SUM(G59:G64)</f>
        <v>448544.34813551058</v>
      </c>
      <c r="H65" s="276">
        <f t="shared" ref="H65" si="29">SUM(H59:H64)</f>
        <v>448544.34813551058</v>
      </c>
      <c r="I65" s="276">
        <f t="shared" ref="I65" si="30">SUM(I59:I64)</f>
        <v>448544.34813551058</v>
      </c>
      <c r="J65" s="276">
        <f t="shared" ref="J65" si="31">SUM(J59:J64)</f>
        <v>448544.34813551058</v>
      </c>
      <c r="K65" s="276">
        <f t="shared" ref="K65" si="32">SUM(K59:K64)</f>
        <v>448544.34813551058</v>
      </c>
      <c r="L65" s="276">
        <f t="shared" ref="L65" si="33">SUM(L59:L64)</f>
        <v>448544.34813551058</v>
      </c>
      <c r="M65" s="276">
        <f t="shared" ref="M65" si="34">SUM(M59:M64)</f>
        <v>448544.34813551058</v>
      </c>
      <c r="N65" s="123">
        <f>SUM(N59:N64)</f>
        <v>5382532.1776261274</v>
      </c>
    </row>
    <row r="67" spans="1:14" ht="13.5" thickBot="1" x14ac:dyDescent="0.25"/>
    <row r="68" spans="1:14" ht="15.75" x14ac:dyDescent="0.25">
      <c r="A68" s="548" t="s">
        <v>137</v>
      </c>
      <c r="B68" s="549" t="s">
        <v>498</v>
      </c>
      <c r="C68" s="549"/>
      <c r="D68" s="549"/>
      <c r="E68" s="549"/>
      <c r="F68" s="549"/>
      <c r="G68" s="549"/>
      <c r="H68" s="549"/>
      <c r="I68" s="549"/>
      <c r="J68" s="549"/>
      <c r="K68" s="549"/>
      <c r="L68" s="549"/>
      <c r="M68" s="549"/>
      <c r="N68" s="549"/>
    </row>
    <row r="69" spans="1:14" ht="15.75" x14ac:dyDescent="0.25">
      <c r="A69" s="118" t="s">
        <v>69</v>
      </c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</row>
    <row r="70" spans="1:14" ht="15.75" x14ac:dyDescent="0.25">
      <c r="A70" s="114" t="s">
        <v>139</v>
      </c>
      <c r="B70" s="329"/>
      <c r="C70" s="370"/>
      <c r="D70" s="370"/>
      <c r="E70" s="370"/>
      <c r="F70" s="370"/>
      <c r="G70" s="370"/>
      <c r="H70" s="370"/>
      <c r="I70" s="370"/>
      <c r="J70" s="370"/>
      <c r="K70" s="370"/>
      <c r="L70" s="370"/>
      <c r="M70" s="370"/>
      <c r="N70" s="119"/>
    </row>
    <row r="71" spans="1:14" ht="15" x14ac:dyDescent="0.2">
      <c r="A71" s="120" t="s">
        <v>141</v>
      </c>
      <c r="B71" s="276">
        <f>498.33*$X$9</f>
        <v>81485.556577951094</v>
      </c>
      <c r="C71" s="276">
        <f>498.33*$X$9</f>
        <v>81485.556577951094</v>
      </c>
      <c r="D71" s="276">
        <f>498.33*$X$9</f>
        <v>81485.556577951094</v>
      </c>
      <c r="E71" s="276">
        <f>498.33*$X$9</f>
        <v>81485.556577951094</v>
      </c>
      <c r="F71" s="276">
        <f>498.33*$X$9</f>
        <v>81485.556577951094</v>
      </c>
      <c r="G71" s="276">
        <f>498.33*$X$9</f>
        <v>81485.556577951094</v>
      </c>
      <c r="H71" s="276">
        <f>498.33*$X$9</f>
        <v>81485.556577951094</v>
      </c>
      <c r="I71" s="276">
        <f>498.33*$X$9</f>
        <v>81485.556577951094</v>
      </c>
      <c r="J71" s="276">
        <f>498.33*$X$9</f>
        <v>81485.556577951094</v>
      </c>
      <c r="K71" s="276">
        <f>498.33*$X$9</f>
        <v>81485.556577951094</v>
      </c>
      <c r="L71" s="276">
        <f>498.33*$X$9</f>
        <v>81485.556577951094</v>
      </c>
      <c r="M71" s="276">
        <f>498.33*$X$9</f>
        <v>81485.556577951094</v>
      </c>
      <c r="N71" s="121">
        <f>SUM(B71:M71)</f>
        <v>977826.6789354129</v>
      </c>
    </row>
    <row r="72" spans="1:14" ht="15" x14ac:dyDescent="0.2">
      <c r="A72" s="120" t="s">
        <v>142</v>
      </c>
      <c r="B72" s="276">
        <f>498.33*$X$9</f>
        <v>81485.556577951094</v>
      </c>
      <c r="C72" s="276">
        <f>498.33*$X$9</f>
        <v>81485.556577951094</v>
      </c>
      <c r="D72" s="276">
        <f>498.33*$X$9</f>
        <v>81485.556577951094</v>
      </c>
      <c r="E72" s="276">
        <f>498.33*$X$9</f>
        <v>81485.556577951094</v>
      </c>
      <c r="F72" s="276">
        <f>498.33*$X$9</f>
        <v>81485.556577951094</v>
      </c>
      <c r="G72" s="276">
        <f>498.33*$X$9</f>
        <v>81485.556577951094</v>
      </c>
      <c r="H72" s="276">
        <f>498.33*$X$9</f>
        <v>81485.556577951094</v>
      </c>
      <c r="I72" s="276">
        <f>498.33*$X$9</f>
        <v>81485.556577951094</v>
      </c>
      <c r="J72" s="276">
        <f>498.33*$X$9</f>
        <v>81485.556577951094</v>
      </c>
      <c r="K72" s="276">
        <f>498.33*$X$9</f>
        <v>81485.556577951094</v>
      </c>
      <c r="L72" s="276">
        <f>498.33*$X$9</f>
        <v>81485.556577951094</v>
      </c>
      <c r="M72" s="276">
        <f>498.33*$X$9</f>
        <v>81485.556577951094</v>
      </c>
      <c r="N72" s="121">
        <f t="shared" ref="N72:N76" si="35">SUM(B72:M72)</f>
        <v>977826.6789354129</v>
      </c>
    </row>
    <row r="73" spans="1:14" ht="15" x14ac:dyDescent="0.2">
      <c r="A73" s="120" t="s">
        <v>143</v>
      </c>
      <c r="B73" s="276">
        <f>498.33*$X$9</f>
        <v>81485.556577951094</v>
      </c>
      <c r="C73" s="276">
        <f>498.33*$X$9</f>
        <v>81485.556577951094</v>
      </c>
      <c r="D73" s="276">
        <f>498.33*$X$9</f>
        <v>81485.556577951094</v>
      </c>
      <c r="E73" s="276">
        <f>498.33*$X$9</f>
        <v>81485.556577951094</v>
      </c>
      <c r="F73" s="276">
        <f>498.33*$X$9</f>
        <v>81485.556577951094</v>
      </c>
      <c r="G73" s="276">
        <f>498.33*$X$9</f>
        <v>81485.556577951094</v>
      </c>
      <c r="H73" s="276">
        <f>498.33*$X$9</f>
        <v>81485.556577951094</v>
      </c>
      <c r="I73" s="276">
        <f>498.33*$X$9</f>
        <v>81485.556577951094</v>
      </c>
      <c r="J73" s="276">
        <f>498.33*$X$9</f>
        <v>81485.556577951094</v>
      </c>
      <c r="K73" s="276">
        <f>498.33*$X$9</f>
        <v>81485.556577951094</v>
      </c>
      <c r="L73" s="276">
        <f>498.33*$X$9</f>
        <v>81485.556577951094</v>
      </c>
      <c r="M73" s="276">
        <f>498.33*$X$9</f>
        <v>81485.556577951094</v>
      </c>
      <c r="N73" s="121">
        <f t="shared" si="35"/>
        <v>977826.6789354129</v>
      </c>
    </row>
    <row r="74" spans="1:14" ht="15" x14ac:dyDescent="0.2">
      <c r="A74" s="120" t="s">
        <v>144</v>
      </c>
      <c r="B74" s="276">
        <f>498.33*$X$9</f>
        <v>81485.556577951094</v>
      </c>
      <c r="C74" s="276">
        <f>498.33*$X$9</f>
        <v>81485.556577951094</v>
      </c>
      <c r="D74" s="276">
        <f>498.33*$X$9</f>
        <v>81485.556577951094</v>
      </c>
      <c r="E74" s="276">
        <f>498.33*$X$9</f>
        <v>81485.556577951094</v>
      </c>
      <c r="F74" s="276">
        <f>498.33*$X$9</f>
        <v>81485.556577951094</v>
      </c>
      <c r="G74" s="276">
        <f>498.33*$X$9</f>
        <v>81485.556577951094</v>
      </c>
      <c r="H74" s="276">
        <f>498.33*$X$9</f>
        <v>81485.556577951094</v>
      </c>
      <c r="I74" s="276">
        <f>498.33*$X$9</f>
        <v>81485.556577951094</v>
      </c>
      <c r="J74" s="276">
        <f>498.33*$X$9</f>
        <v>81485.556577951094</v>
      </c>
      <c r="K74" s="276">
        <f>498.33*$X$9</f>
        <v>81485.556577951094</v>
      </c>
      <c r="L74" s="276">
        <f>498.33*$X$9</f>
        <v>81485.556577951094</v>
      </c>
      <c r="M74" s="276">
        <f>498.33*$X$9</f>
        <v>81485.556577951094</v>
      </c>
      <c r="N74" s="121">
        <f t="shared" si="35"/>
        <v>977826.6789354129</v>
      </c>
    </row>
    <row r="75" spans="1:14" ht="15" x14ac:dyDescent="0.2">
      <c r="A75" s="120" t="s">
        <v>145</v>
      </c>
      <c r="B75" s="276">
        <f>498.33*$X$9</f>
        <v>81485.556577951094</v>
      </c>
      <c r="C75" s="276">
        <f>498.33*$X$9</f>
        <v>81485.556577951094</v>
      </c>
      <c r="D75" s="276">
        <f>498.33*$X$9</f>
        <v>81485.556577951094</v>
      </c>
      <c r="E75" s="276">
        <f>498.33*$X$9</f>
        <v>81485.556577951094</v>
      </c>
      <c r="F75" s="276">
        <f>498.33*$X$9</f>
        <v>81485.556577951094</v>
      </c>
      <c r="G75" s="276">
        <f>498.33*$X$9</f>
        <v>81485.556577951094</v>
      </c>
      <c r="H75" s="276">
        <f>498.33*$X$9</f>
        <v>81485.556577951094</v>
      </c>
      <c r="I75" s="276">
        <f>498.33*$X$9</f>
        <v>81485.556577951094</v>
      </c>
      <c r="J75" s="276">
        <f>498.33*$X$9</f>
        <v>81485.556577951094</v>
      </c>
      <c r="K75" s="276">
        <f>498.33*$X$9</f>
        <v>81485.556577951094</v>
      </c>
      <c r="L75" s="276">
        <f>498.33*$X$9</f>
        <v>81485.556577951094</v>
      </c>
      <c r="M75" s="276">
        <f>498.33*$X$9</f>
        <v>81485.556577951094</v>
      </c>
      <c r="N75" s="121">
        <f t="shared" si="35"/>
        <v>977826.6789354129</v>
      </c>
    </row>
    <row r="76" spans="1:14" ht="15" x14ac:dyDescent="0.2">
      <c r="A76" s="120" t="s">
        <v>146</v>
      </c>
      <c r="B76" s="276">
        <f>498.33*$X$9</f>
        <v>81485.556577951094</v>
      </c>
      <c r="C76" s="276">
        <f>498.33*$X$9</f>
        <v>81485.556577951094</v>
      </c>
      <c r="D76" s="276">
        <f>498.33*$X$9</f>
        <v>81485.556577951094</v>
      </c>
      <c r="E76" s="276">
        <f>498.33*$X$9</f>
        <v>81485.556577951094</v>
      </c>
      <c r="F76" s="276">
        <f>498.33*$X$9</f>
        <v>81485.556577951094</v>
      </c>
      <c r="G76" s="276">
        <f>498.33*$X$9</f>
        <v>81485.556577951094</v>
      </c>
      <c r="H76" s="276">
        <f>498.33*$X$9</f>
        <v>81485.556577951094</v>
      </c>
      <c r="I76" s="276">
        <f>498.33*$X$9</f>
        <v>81485.556577951094</v>
      </c>
      <c r="J76" s="276">
        <f>498.33*$X$9</f>
        <v>81485.556577951094</v>
      </c>
      <c r="K76" s="276">
        <f>498.33*$X$9</f>
        <v>81485.556577951094</v>
      </c>
      <c r="L76" s="276">
        <f>498.33*$X$9</f>
        <v>81485.556577951094</v>
      </c>
      <c r="M76" s="276">
        <f>498.33*$X$9</f>
        <v>81485.556577951094</v>
      </c>
      <c r="N76" s="121">
        <f t="shared" si="35"/>
        <v>977826.6789354129</v>
      </c>
    </row>
    <row r="77" spans="1:14" ht="15.75" x14ac:dyDescent="0.25">
      <c r="A77" s="4" t="s">
        <v>147</v>
      </c>
      <c r="B77" s="276">
        <f>SUM(B71:B76)</f>
        <v>488913.33946770651</v>
      </c>
      <c r="C77" s="276">
        <f t="shared" ref="C77:M77" si="36">SUM(C71:C76)</f>
        <v>488913.33946770651</v>
      </c>
      <c r="D77" s="276">
        <f t="shared" si="36"/>
        <v>488913.33946770651</v>
      </c>
      <c r="E77" s="276">
        <f t="shared" si="36"/>
        <v>488913.33946770651</v>
      </c>
      <c r="F77" s="276">
        <f t="shared" si="36"/>
        <v>488913.33946770651</v>
      </c>
      <c r="G77" s="276">
        <f t="shared" si="36"/>
        <v>488913.33946770651</v>
      </c>
      <c r="H77" s="276">
        <f t="shared" si="36"/>
        <v>488913.33946770651</v>
      </c>
      <c r="I77" s="276">
        <f t="shared" si="36"/>
        <v>488913.33946770651</v>
      </c>
      <c r="J77" s="276">
        <f t="shared" si="36"/>
        <v>488913.33946770651</v>
      </c>
      <c r="K77" s="276">
        <f t="shared" si="36"/>
        <v>488913.33946770651</v>
      </c>
      <c r="L77" s="276">
        <f t="shared" si="36"/>
        <v>488913.33946770651</v>
      </c>
      <c r="M77" s="276">
        <f t="shared" si="36"/>
        <v>488913.33946770651</v>
      </c>
      <c r="N77" s="123">
        <f>SUM(N71:N76)</f>
        <v>5866960.0736124776</v>
      </c>
    </row>
  </sheetData>
  <mergeCells count="6">
    <mergeCell ref="B68:N68"/>
    <mergeCell ref="B8:N8"/>
    <mergeCell ref="B20:N20"/>
    <mergeCell ref="B32:N32"/>
    <mergeCell ref="B44:N44"/>
    <mergeCell ref="B56:N56"/>
  </mergeCells>
  <pageMargins left="0.75" right="0.75" top="1" bottom="1" header="0" footer="0"/>
  <pageSetup orientation="portrait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5A31-375A-4B4F-8132-09B4E49EDB14}">
  <dimension ref="B2:K20"/>
  <sheetViews>
    <sheetView topLeftCell="B1" workbookViewId="0">
      <selection activeCell="H22" sqref="H22"/>
    </sheetView>
    <sheetView topLeftCell="B2" zoomScale="91" zoomScaleNormal="100" workbookViewId="1">
      <selection activeCell="E22" sqref="E22"/>
    </sheetView>
  </sheetViews>
  <sheetFormatPr baseColWidth="10" defaultColWidth="11.42578125" defaultRowHeight="12.75" x14ac:dyDescent="0.2"/>
  <cols>
    <col min="4" max="6" width="20.5703125" customWidth="1"/>
    <col min="7" max="7" width="19.140625" customWidth="1"/>
    <col min="8" max="8" width="21.42578125" customWidth="1"/>
    <col min="9" max="10" width="20.5703125" customWidth="1"/>
    <col min="11" max="11" width="16.28515625" bestFit="1" customWidth="1"/>
  </cols>
  <sheetData>
    <row r="2" spans="2:11" ht="21" x14ac:dyDescent="0.35">
      <c r="B2" s="457" t="s">
        <v>310</v>
      </c>
      <c r="C2" s="457"/>
      <c r="D2" s="457"/>
      <c r="E2" s="457"/>
      <c r="F2" s="457"/>
      <c r="G2" s="457"/>
      <c r="H2" s="457"/>
      <c r="I2" s="457"/>
      <c r="J2" s="457"/>
      <c r="K2" s="42"/>
    </row>
    <row r="3" spans="2:11" ht="15" x14ac:dyDescent="0.25">
      <c r="B3" s="29"/>
      <c r="C3" s="29"/>
      <c r="D3" s="29"/>
      <c r="E3" s="29"/>
      <c r="F3" s="29"/>
      <c r="G3" s="29"/>
      <c r="H3" s="29"/>
      <c r="I3" s="29"/>
      <c r="J3" s="29"/>
      <c r="K3" s="42"/>
    </row>
    <row r="4" spans="2:11" ht="15.75" x14ac:dyDescent="0.25">
      <c r="B4" s="29"/>
      <c r="C4" s="30" t="s">
        <v>311</v>
      </c>
      <c r="D4" s="31"/>
      <c r="E4" s="31"/>
      <c r="F4" s="32">
        <v>0.15</v>
      </c>
      <c r="G4" s="31"/>
      <c r="H4" s="31"/>
      <c r="I4" s="31"/>
      <c r="J4" s="31"/>
      <c r="K4" s="43"/>
    </row>
    <row r="5" spans="2:11" ht="15.75" x14ac:dyDescent="0.25">
      <c r="B5" s="29"/>
      <c r="C5" s="31"/>
      <c r="D5" s="31"/>
      <c r="E5" s="31"/>
      <c r="F5" s="31"/>
      <c r="G5" s="31"/>
      <c r="H5" s="31"/>
      <c r="I5" s="31"/>
      <c r="J5" s="31"/>
      <c r="K5" s="43"/>
    </row>
    <row r="6" spans="2:11" ht="15.75" x14ac:dyDescent="0.25">
      <c r="B6" s="29"/>
      <c r="C6" s="541" t="s">
        <v>312</v>
      </c>
      <c r="D6" s="541" t="s">
        <v>108</v>
      </c>
      <c r="E6" s="542" t="s">
        <v>515</v>
      </c>
      <c r="F6" s="541" t="s">
        <v>313</v>
      </c>
      <c r="G6" s="543" t="s">
        <v>314</v>
      </c>
      <c r="H6" s="544" t="s">
        <v>315</v>
      </c>
      <c r="I6" s="544" t="s">
        <v>108</v>
      </c>
      <c r="J6" s="544" t="s">
        <v>109</v>
      </c>
      <c r="K6" s="43"/>
    </row>
    <row r="7" spans="2:11" ht="15.75" x14ac:dyDescent="0.25">
      <c r="B7" s="29"/>
      <c r="C7" s="545"/>
      <c r="D7" s="545"/>
      <c r="E7" s="546"/>
      <c r="F7" s="545"/>
      <c r="G7" s="547"/>
      <c r="H7" s="544" t="s">
        <v>316</v>
      </c>
      <c r="I7" s="544" t="s">
        <v>317</v>
      </c>
      <c r="J7" s="544" t="s">
        <v>317</v>
      </c>
      <c r="K7" s="43"/>
    </row>
    <row r="8" spans="2:11" ht="15.75" x14ac:dyDescent="0.25">
      <c r="B8" s="29"/>
      <c r="C8" s="33">
        <v>0</v>
      </c>
      <c r="D8" s="34">
        <f>'PROYECCIONES EGRESOS E INGRESOS'!B7</f>
        <v>3655699.0469999998</v>
      </c>
      <c r="E8" s="34"/>
      <c r="F8" s="539">
        <f>COSTOS!N29</f>
        <v>1730377.5074728625</v>
      </c>
      <c r="G8" s="34">
        <f t="shared" ref="G8:G12" si="0">D8-F8</f>
        <v>1925321.5395271373</v>
      </c>
      <c r="H8" s="35">
        <f>1/(1+$F$4)^C8</f>
        <v>1</v>
      </c>
      <c r="I8" s="34">
        <f t="shared" ref="I8:I12" si="1">H8*D8</f>
        <v>3655699.0469999998</v>
      </c>
      <c r="J8" s="44">
        <f>H8*F8</f>
        <v>1730377.5074728625</v>
      </c>
      <c r="K8" s="43"/>
    </row>
    <row r="9" spans="2:11" ht="15.75" x14ac:dyDescent="0.25">
      <c r="B9" s="29"/>
      <c r="C9" s="33">
        <v>1</v>
      </c>
      <c r="D9" s="34">
        <f>INGRESOS!N29</f>
        <v>4156302.4284599992</v>
      </c>
      <c r="F9" s="34">
        <f>COSTOS!N44</f>
        <v>1741856.2600228623</v>
      </c>
      <c r="G9" s="538">
        <f t="shared" si="0"/>
        <v>2414446.1684371368</v>
      </c>
      <c r="H9" s="35">
        <f>1/(1+$F$4)^C9</f>
        <v>0.86956521739130443</v>
      </c>
      <c r="I9" s="34">
        <f t="shared" si="1"/>
        <v>3614176.0247478257</v>
      </c>
      <c r="J9" s="44">
        <f>H9*F9</f>
        <v>1514657.6174111848</v>
      </c>
      <c r="K9" s="43">
        <f>I9/J9</f>
        <v>2.3861339904163197</v>
      </c>
    </row>
    <row r="10" spans="2:11" ht="15.75" x14ac:dyDescent="0.25">
      <c r="B10" s="29"/>
      <c r="C10" s="33">
        <v>2</v>
      </c>
      <c r="D10" s="34">
        <f>INGRESOS!N41</f>
        <v>4530369.6470213998</v>
      </c>
      <c r="E10" s="537"/>
      <c r="F10" s="34">
        <f>COSTOS!N57</f>
        <v>1753426.1219589869</v>
      </c>
      <c r="G10" s="538">
        <f t="shared" si="0"/>
        <v>2776943.525062413</v>
      </c>
      <c r="H10" s="35">
        <f t="shared" ref="H10:H12" si="2">1/(1+$F$4)^C10</f>
        <v>0.7561436672967865</v>
      </c>
      <c r="I10" s="34">
        <f t="shared" si="1"/>
        <v>3425610.3191088093</v>
      </c>
      <c r="J10" s="44">
        <f t="shared" ref="J10:J12" si="3">H10*F10</f>
        <v>1325842.0581920508</v>
      </c>
      <c r="K10" s="43">
        <f t="shared" ref="K10:K12" si="4">I10/J10</f>
        <v>2.5837242814427319</v>
      </c>
    </row>
    <row r="11" spans="2:11" ht="15.75" x14ac:dyDescent="0.25">
      <c r="B11" s="29"/>
      <c r="C11" s="33">
        <v>3</v>
      </c>
      <c r="D11" s="34">
        <f>INGRESOS!N53</f>
        <v>4938102.9152533263</v>
      </c>
      <c r="E11" s="537"/>
      <c r="F11" s="34">
        <f>COSTOS!N70</f>
        <v>1765087.8267890534</v>
      </c>
      <c r="G11" s="538">
        <f t="shared" si="0"/>
        <v>3173015.0884642731</v>
      </c>
      <c r="H11" s="35">
        <f t="shared" si="2"/>
        <v>0.65751623243198831</v>
      </c>
      <c r="I11" s="34">
        <f t="shared" si="1"/>
        <v>3246882.8241987852</v>
      </c>
      <c r="J11" s="44">
        <f t="shared" si="3"/>
        <v>1160573.8977819043</v>
      </c>
      <c r="K11" s="43">
        <f t="shared" si="4"/>
        <v>2.7976528081531447</v>
      </c>
    </row>
    <row r="12" spans="2:11" ht="15.75" x14ac:dyDescent="0.25">
      <c r="B12" s="29"/>
      <c r="C12" s="33">
        <v>4</v>
      </c>
      <c r="D12" s="34">
        <f>INGRESOS!N65</f>
        <v>5382532.1776261274</v>
      </c>
      <c r="E12" s="537"/>
      <c r="F12" s="34">
        <f>COSTOS!N83</f>
        <v>1776842.1140240591</v>
      </c>
      <c r="G12" s="538">
        <f t="shared" si="0"/>
        <v>3605690.0636020685</v>
      </c>
      <c r="H12" s="35">
        <f t="shared" si="2"/>
        <v>0.57175324559303342</v>
      </c>
      <c r="I12" s="34">
        <f t="shared" si="1"/>
        <v>3077480.2420666763</v>
      </c>
      <c r="J12" s="44">
        <f t="shared" si="3"/>
        <v>1015915.2455996426</v>
      </c>
      <c r="K12" s="43">
        <f t="shared" si="4"/>
        <v>3.0292686869269274</v>
      </c>
    </row>
    <row r="13" spans="2:11" ht="15.75" x14ac:dyDescent="0.25">
      <c r="B13" s="29"/>
      <c r="C13" s="33">
        <v>5</v>
      </c>
      <c r="D13" s="34">
        <f>INGRESOS!N77</f>
        <v>5866960.0736124776</v>
      </c>
      <c r="E13" s="537">
        <f>DEPRECIACIONES!H30+DEPRECIACIONES!H18</f>
        <v>113200</v>
      </c>
      <c r="F13" s="34">
        <f>COSTOS!N97</f>
        <v>1788689.729228233</v>
      </c>
      <c r="G13" s="538">
        <f>D13+E13-F13</f>
        <v>4191470.3443842446</v>
      </c>
      <c r="H13" s="35">
        <f>1/(1+$F$4)^C13</f>
        <v>0.49717673529828987</v>
      </c>
      <c r="I13" s="34">
        <f>H13*D13+E13</f>
        <v>3030116.0555240661</v>
      </c>
      <c r="J13" s="44">
        <f>H13*F13</f>
        <v>889294.92003927496</v>
      </c>
      <c r="K13" s="43">
        <f>I13/J13</f>
        <v>3.4073241477531924</v>
      </c>
    </row>
    <row r="14" spans="2:11" ht="15.75" x14ac:dyDescent="0.25">
      <c r="B14" s="29"/>
      <c r="C14" s="33" t="s">
        <v>28</v>
      </c>
      <c r="D14" s="36">
        <f t="shared" ref="D14:J14" si="5">SUM(D8:D13)</f>
        <v>28529966.288973328</v>
      </c>
      <c r="F14" s="540">
        <f t="shared" si="5"/>
        <v>10556279.559496056</v>
      </c>
      <c r="G14" s="36">
        <f>SUM(G8:G13)</f>
        <v>18086886.729477275</v>
      </c>
      <c r="H14" s="36"/>
      <c r="I14" s="36">
        <f>SUM(I8:I13)+DEPRECIACIONES!H30+DEPRECIACIONES!H18</f>
        <v>20163164.512646165</v>
      </c>
      <c r="J14" s="36">
        <f t="shared" si="5"/>
        <v>7636661.2464969205</v>
      </c>
      <c r="K14" s="43">
        <f>SUM(K9:K13)</f>
        <v>14.204103914692315</v>
      </c>
    </row>
    <row r="15" spans="2:11" ht="15.75" x14ac:dyDescent="0.25">
      <c r="B15" s="29"/>
      <c r="C15" s="31"/>
      <c r="D15" s="31"/>
      <c r="E15" s="31"/>
      <c r="F15" s="31"/>
      <c r="G15" s="31"/>
      <c r="H15" s="31"/>
      <c r="I15" s="45"/>
      <c r="J15" s="31"/>
      <c r="K15" s="43"/>
    </row>
    <row r="16" spans="2:11" ht="15.75" x14ac:dyDescent="0.25">
      <c r="B16" s="29"/>
      <c r="C16" s="31"/>
      <c r="D16" s="31"/>
      <c r="E16" s="31"/>
      <c r="F16" s="31"/>
      <c r="G16" s="31"/>
      <c r="H16" s="37"/>
      <c r="I16" s="31"/>
      <c r="J16" s="31"/>
      <c r="K16" s="43"/>
    </row>
    <row r="17" spans="2:11" ht="15.75" x14ac:dyDescent="0.25">
      <c r="B17" s="29"/>
      <c r="C17" s="31"/>
      <c r="D17" s="31"/>
      <c r="E17" s="31"/>
      <c r="F17" s="31"/>
      <c r="G17" s="38" t="s">
        <v>318</v>
      </c>
      <c r="H17" s="39">
        <f>I14-J14</f>
        <v>12526503.266149245</v>
      </c>
      <c r="I17" s="31"/>
      <c r="J17" s="45"/>
      <c r="K17" s="43"/>
    </row>
    <row r="18" spans="2:11" ht="15.75" x14ac:dyDescent="0.25">
      <c r="B18" s="29"/>
      <c r="C18" s="31"/>
      <c r="D18" s="31"/>
      <c r="E18" s="31"/>
      <c r="F18" s="31"/>
      <c r="G18" s="38" t="s">
        <v>319</v>
      </c>
      <c r="H18" s="40">
        <v>0.15</v>
      </c>
      <c r="I18" s="31"/>
      <c r="J18" s="31"/>
      <c r="K18" s="43"/>
    </row>
    <row r="19" spans="2:11" ht="15.75" x14ac:dyDescent="0.25">
      <c r="B19" s="29"/>
      <c r="C19" s="31"/>
      <c r="D19" s="31"/>
      <c r="E19" s="31"/>
      <c r="F19" s="31"/>
      <c r="G19" s="38" t="s">
        <v>320</v>
      </c>
      <c r="H19" s="41">
        <f>I14/J14</f>
        <v>2.6403115002508963</v>
      </c>
      <c r="I19" s="31"/>
      <c r="J19" s="31"/>
      <c r="K19" s="43"/>
    </row>
    <row r="20" spans="2:11" ht="15.75" x14ac:dyDescent="0.25">
      <c r="B20" s="29"/>
      <c r="C20" s="31"/>
      <c r="D20" s="31"/>
      <c r="E20" s="31"/>
      <c r="F20" s="31"/>
      <c r="G20" s="31"/>
      <c r="H20" s="31"/>
      <c r="I20" s="31"/>
      <c r="J20" s="31"/>
      <c r="K20" s="43"/>
    </row>
  </sheetData>
  <mergeCells count="5">
    <mergeCell ref="B2:J2"/>
    <mergeCell ref="C6:C7"/>
    <mergeCell ref="D6:D7"/>
    <mergeCell ref="F6:F7"/>
    <mergeCell ref="G6:G7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BCF7-EB46-4173-8FA3-6E8D397E383B}">
  <dimension ref="A2:S92"/>
  <sheetViews>
    <sheetView zoomScale="80" zoomScaleNormal="80" workbookViewId="0">
      <selection activeCell="A26" sqref="A26"/>
    </sheetView>
    <sheetView zoomScale="56" workbookViewId="1">
      <selection activeCell="L53" sqref="L53"/>
    </sheetView>
  </sheetViews>
  <sheetFormatPr baseColWidth="10" defaultColWidth="11.42578125" defaultRowHeight="12.75" x14ac:dyDescent="0.2"/>
  <cols>
    <col min="1" max="1" width="31.7109375" customWidth="1"/>
    <col min="2" max="2" width="14.5703125" bestFit="1" customWidth="1"/>
    <col min="3" max="4" width="13.140625" bestFit="1" customWidth="1"/>
    <col min="5" max="5" width="5.28515625" customWidth="1"/>
    <col min="6" max="6" width="15.42578125" bestFit="1" customWidth="1"/>
    <col min="7" max="7" width="15.28515625" bestFit="1" customWidth="1"/>
    <col min="8" max="8" width="4.42578125" customWidth="1"/>
    <col min="9" max="9" width="13.140625" customWidth="1"/>
    <col min="10" max="10" width="13.140625" bestFit="1" customWidth="1"/>
    <col min="11" max="11" width="4" customWidth="1"/>
    <col min="12" max="12" width="43" bestFit="1" customWidth="1"/>
    <col min="13" max="13" width="19.7109375" customWidth="1"/>
    <col min="14" max="14" width="16.42578125" customWidth="1"/>
    <col min="16" max="18" width="15.42578125" bestFit="1" customWidth="1"/>
    <col min="19" max="19" width="14.28515625" bestFit="1" customWidth="1"/>
  </cols>
  <sheetData>
    <row r="2" spans="1:17" x14ac:dyDescent="0.2">
      <c r="A2" t="s">
        <v>556</v>
      </c>
    </row>
    <row r="3" spans="1:17" ht="15.75" x14ac:dyDescent="0.2">
      <c r="A3" s="511" t="s">
        <v>321</v>
      </c>
      <c r="B3" s="512"/>
      <c r="C3" s="499" t="s">
        <v>588</v>
      </c>
      <c r="D3" s="499"/>
      <c r="E3" s="500"/>
      <c r="F3" s="499" t="s">
        <v>516</v>
      </c>
      <c r="G3" s="499"/>
      <c r="H3" s="500"/>
      <c r="I3" s="499" t="s">
        <v>589</v>
      </c>
      <c r="J3" s="499"/>
      <c r="L3" s="509" t="s">
        <v>513</v>
      </c>
      <c r="M3" s="509"/>
      <c r="N3" s="509"/>
    </row>
    <row r="4" spans="1:17" x14ac:dyDescent="0.2">
      <c r="A4" s="511" t="s">
        <v>322</v>
      </c>
      <c r="B4" s="513" t="s">
        <v>122</v>
      </c>
      <c r="C4" s="510" t="s">
        <v>511</v>
      </c>
      <c r="D4" s="510" t="s">
        <v>512</v>
      </c>
      <c r="E4" s="510"/>
      <c r="F4" s="510" t="s">
        <v>511</v>
      </c>
      <c r="G4" s="510" t="s">
        <v>512</v>
      </c>
      <c r="H4" s="510"/>
      <c r="I4" s="510"/>
      <c r="J4" s="510"/>
      <c r="L4" s="510" t="s">
        <v>70</v>
      </c>
      <c r="M4" s="510" t="s">
        <v>511</v>
      </c>
      <c r="N4" s="510" t="s">
        <v>512</v>
      </c>
      <c r="P4" s="411" t="s">
        <v>281</v>
      </c>
      <c r="Q4" s="353">
        <f>N13</f>
        <v>3655699.0469999998</v>
      </c>
    </row>
    <row r="5" spans="1:17" x14ac:dyDescent="0.2">
      <c r="A5" s="514" t="s">
        <v>323</v>
      </c>
      <c r="B5" s="515"/>
      <c r="C5" s="504"/>
      <c r="D5" s="504"/>
      <c r="E5" s="505"/>
      <c r="F5" s="506"/>
      <c r="G5" s="506"/>
      <c r="H5" s="507"/>
      <c r="I5" s="508"/>
      <c r="J5" s="508"/>
      <c r="L5" s="28">
        <v>1</v>
      </c>
      <c r="M5" s="28"/>
      <c r="N5" s="28"/>
      <c r="P5" s="411" t="s">
        <v>525</v>
      </c>
      <c r="Q5" s="412">
        <f>M21</f>
        <v>1730377.5074728625</v>
      </c>
    </row>
    <row r="6" spans="1:17" x14ac:dyDescent="0.2">
      <c r="A6" s="516" t="s">
        <v>426</v>
      </c>
      <c r="B6" s="515"/>
      <c r="C6" s="504">
        <f>'Estados Financieros '!C34</f>
        <v>13500</v>
      </c>
      <c r="D6" s="504"/>
      <c r="E6" s="504"/>
      <c r="F6" s="507"/>
      <c r="G6" s="507"/>
      <c r="H6" s="507"/>
      <c r="I6" s="508"/>
      <c r="J6" s="508"/>
      <c r="L6" s="493" t="s">
        <v>582</v>
      </c>
      <c r="M6" s="362">
        <f>'ESTRUCTURA FINANCIERA'!F30</f>
        <v>759000</v>
      </c>
      <c r="N6" s="411"/>
      <c r="P6" s="411" t="s">
        <v>526</v>
      </c>
      <c r="Q6" s="353">
        <f>Q4-Q5</f>
        <v>1925321.5395271373</v>
      </c>
    </row>
    <row r="7" spans="1:17" s="48" customFormat="1" x14ac:dyDescent="0.2">
      <c r="A7" s="516" t="str">
        <f>'Estados Financieros '!B35</f>
        <v>Bancos</v>
      </c>
      <c r="B7" s="515"/>
      <c r="C7" s="504">
        <f>'Estados Financieros '!C35</f>
        <v>894300.06</v>
      </c>
      <c r="D7" s="504"/>
      <c r="E7" s="504"/>
      <c r="F7" s="507"/>
      <c r="G7" s="507"/>
      <c r="H7" s="507"/>
      <c r="I7" s="508">
        <f>C7+F8+F10-G9-G11-G12-G13-G14-G15+C6</f>
        <v>1922922.4518691369</v>
      </c>
      <c r="J7" s="508"/>
      <c r="L7" s="493" t="s">
        <v>583</v>
      </c>
      <c r="M7" s="411"/>
      <c r="N7" s="362">
        <f>M6</f>
        <v>759000</v>
      </c>
      <c r="P7" s="411" t="s">
        <v>527</v>
      </c>
      <c r="Q7" s="362">
        <f>M15</f>
        <v>350600.52</v>
      </c>
    </row>
    <row r="8" spans="1:17" x14ac:dyDescent="0.2">
      <c r="A8" s="516"/>
      <c r="B8" s="515"/>
      <c r="C8" s="504"/>
      <c r="D8" s="504"/>
      <c r="E8" s="504" t="s">
        <v>523</v>
      </c>
      <c r="F8" s="507">
        <f>M6</f>
        <v>759000</v>
      </c>
      <c r="G8" s="507"/>
      <c r="H8" s="507"/>
      <c r="I8" s="508"/>
      <c r="J8" s="508"/>
      <c r="L8" s="28">
        <v>2</v>
      </c>
      <c r="M8" s="48"/>
      <c r="N8" s="48"/>
      <c r="P8" s="411" t="s">
        <v>531</v>
      </c>
      <c r="Q8" s="362">
        <f>'M. DE CALCULO DE GASTOS FIJOS'!E41+M30</f>
        <v>275299.47600000002</v>
      </c>
    </row>
    <row r="9" spans="1:17" ht="13.5" customHeight="1" x14ac:dyDescent="0.2">
      <c r="A9" s="516"/>
      <c r="B9" s="515"/>
      <c r="C9" s="504"/>
      <c r="D9" s="504"/>
      <c r="E9" s="504"/>
      <c r="F9" s="507"/>
      <c r="G9" s="507">
        <f>N10</f>
        <v>759000</v>
      </c>
      <c r="H9" s="507" t="s">
        <v>544</v>
      </c>
      <c r="I9" s="508"/>
      <c r="J9" s="508"/>
      <c r="L9" s="493" t="s">
        <v>584</v>
      </c>
      <c r="M9" s="362">
        <f>M6</f>
        <v>759000</v>
      </c>
      <c r="N9" s="411"/>
      <c r="P9" s="411" t="s">
        <v>529</v>
      </c>
      <c r="Q9" s="353">
        <f>Q6-Q7-Q8</f>
        <v>1299421.5435271373</v>
      </c>
    </row>
    <row r="10" spans="1:17" ht="13.5" customHeight="1" x14ac:dyDescent="0.2">
      <c r="A10" s="516"/>
      <c r="B10" s="515"/>
      <c r="C10" s="504"/>
      <c r="D10" s="504"/>
      <c r="E10" s="504" t="s">
        <v>545</v>
      </c>
      <c r="F10" s="507">
        <f>M12</f>
        <v>3655699.0469999998</v>
      </c>
      <c r="G10" s="507"/>
      <c r="H10" s="507"/>
      <c r="I10" s="508"/>
      <c r="J10" s="508"/>
      <c r="L10" s="493" t="s">
        <v>582</v>
      </c>
      <c r="M10" s="411"/>
      <c r="N10" s="362">
        <f>M6</f>
        <v>759000</v>
      </c>
      <c r="P10" s="411"/>
      <c r="Q10" s="411"/>
    </row>
    <row r="11" spans="1:17" ht="13.5" customHeight="1" x14ac:dyDescent="0.2">
      <c r="A11" s="516"/>
      <c r="B11" s="515"/>
      <c r="C11" s="504"/>
      <c r="D11" s="504"/>
      <c r="E11" s="504"/>
      <c r="F11" s="507"/>
      <c r="G11" s="507">
        <f>N16</f>
        <v>350600.52</v>
      </c>
      <c r="H11" s="507" t="s">
        <v>546</v>
      </c>
      <c r="I11" s="508"/>
      <c r="J11" s="508"/>
      <c r="L11" s="28">
        <v>3</v>
      </c>
      <c r="P11" s="411" t="s">
        <v>528</v>
      </c>
      <c r="Q11" s="104">
        <f>M27</f>
        <v>160449.191658</v>
      </c>
    </row>
    <row r="12" spans="1:17" ht="14.25" customHeight="1" x14ac:dyDescent="0.2">
      <c r="A12" s="516"/>
      <c r="B12" s="515"/>
      <c r="C12" s="504"/>
      <c r="D12" s="504"/>
      <c r="E12" s="504"/>
      <c r="F12" s="507"/>
      <c r="G12" s="507">
        <f>N25</f>
        <v>199749.96000000002</v>
      </c>
      <c r="H12" s="507" t="s">
        <v>547</v>
      </c>
      <c r="I12" s="508"/>
      <c r="J12" s="508"/>
      <c r="L12" s="493" t="s">
        <v>582</v>
      </c>
      <c r="M12" s="353">
        <f>'PROYECCIONES EGRESOS E INGRESOS'!B7</f>
        <v>3655699.0469999998</v>
      </c>
      <c r="N12" s="411"/>
      <c r="P12" s="411"/>
      <c r="Q12" s="353">
        <f>Q9-Q11</f>
        <v>1138972.3518691373</v>
      </c>
    </row>
    <row r="13" spans="1:17" ht="14.25" customHeight="1" x14ac:dyDescent="0.2">
      <c r="A13" s="516"/>
      <c r="B13" s="515"/>
      <c r="C13" s="504"/>
      <c r="D13" s="504"/>
      <c r="E13" s="504"/>
      <c r="F13" s="507"/>
      <c r="G13" s="507">
        <f>N22</f>
        <v>1730377.5074728625</v>
      </c>
      <c r="H13" s="507" t="s">
        <v>548</v>
      </c>
      <c r="I13" s="508"/>
      <c r="J13" s="508"/>
      <c r="L13" s="493" t="s">
        <v>92</v>
      </c>
      <c r="M13" s="411"/>
      <c r="N13" s="353">
        <f>M12</f>
        <v>3655699.0469999998</v>
      </c>
      <c r="P13" s="411" t="s">
        <v>530</v>
      </c>
      <c r="Q13" s="411"/>
    </row>
    <row r="14" spans="1:17" ht="15" customHeight="1" x14ac:dyDescent="0.2">
      <c r="A14" s="516"/>
      <c r="B14" s="515"/>
      <c r="C14" s="504"/>
      <c r="D14" s="504"/>
      <c r="E14" s="504"/>
      <c r="F14" s="507"/>
      <c r="G14" s="507">
        <f>N19</f>
        <v>199399.476</v>
      </c>
      <c r="H14" s="507" t="s">
        <v>549</v>
      </c>
      <c r="I14" s="508"/>
      <c r="J14" s="508"/>
      <c r="L14" s="28">
        <v>4</v>
      </c>
      <c r="P14" s="411" t="s">
        <v>532</v>
      </c>
      <c r="Q14" s="353">
        <f>Q12*0.1</f>
        <v>113897.23518691373</v>
      </c>
    </row>
    <row r="15" spans="1:17" ht="15" customHeight="1" x14ac:dyDescent="0.2">
      <c r="A15" s="516"/>
      <c r="B15" s="515"/>
      <c r="C15" s="504"/>
      <c r="D15" s="504"/>
      <c r="E15" s="504"/>
      <c r="F15" s="507"/>
      <c r="G15" s="507">
        <f>N28</f>
        <v>160449.191658</v>
      </c>
      <c r="H15" s="507" t="s">
        <v>550</v>
      </c>
      <c r="I15" s="508"/>
      <c r="J15" s="508"/>
      <c r="L15" s="493" t="s">
        <v>554</v>
      </c>
      <c r="M15" s="353">
        <f>'M. DE CALCULO DE GASTOS FIJOS'!E33</f>
        <v>350600.52</v>
      </c>
      <c r="N15" s="353"/>
      <c r="P15" s="411" t="s">
        <v>533</v>
      </c>
      <c r="Q15" s="353">
        <f>Q12*0.3</f>
        <v>341691.70556074119</v>
      </c>
    </row>
    <row r="16" spans="1:17" x14ac:dyDescent="0.2">
      <c r="A16" s="516" t="str">
        <f>'Estados Financieros '!B36</f>
        <v>Clientes</v>
      </c>
      <c r="B16" s="515"/>
      <c r="C16" s="504">
        <f>'Estados Financieros '!C36</f>
        <v>315000</v>
      </c>
      <c r="D16" s="504"/>
      <c r="E16" s="504"/>
      <c r="F16" s="507"/>
      <c r="G16" s="507"/>
      <c r="H16" s="507"/>
      <c r="I16" s="508">
        <f>C16</f>
        <v>315000</v>
      </c>
      <c r="J16" s="508"/>
      <c r="L16" s="493" t="s">
        <v>582</v>
      </c>
      <c r="M16" s="353"/>
      <c r="N16" s="353">
        <f>M15</f>
        <v>350600.52</v>
      </c>
      <c r="P16" s="411" t="s">
        <v>534</v>
      </c>
      <c r="Q16" s="353">
        <f>Q12-Q14-Q15</f>
        <v>683383.41112148226</v>
      </c>
    </row>
    <row r="17" spans="1:19" x14ac:dyDescent="0.2">
      <c r="A17" s="516" t="str">
        <f>'Estados Financieros '!B37</f>
        <v>Deudores diversos</v>
      </c>
      <c r="B17" s="515"/>
      <c r="C17" s="504">
        <f>'Estados Financieros '!C37</f>
        <v>85000</v>
      </c>
      <c r="D17" s="504"/>
      <c r="E17" s="504"/>
      <c r="F17" s="507"/>
      <c r="G17" s="507"/>
      <c r="H17" s="507"/>
      <c r="I17" s="508">
        <f t="shared" ref="I17:I24" si="0">C17</f>
        <v>85000</v>
      </c>
      <c r="J17" s="508"/>
      <c r="L17" s="28">
        <v>5</v>
      </c>
    </row>
    <row r="18" spans="1:19" x14ac:dyDescent="0.2">
      <c r="A18" s="516" t="str">
        <f>'Estados Financieros '!B38</f>
        <v>Inventarios PT</v>
      </c>
      <c r="B18" s="515"/>
      <c r="C18" s="504">
        <f>'Estados Financieros '!C38</f>
        <v>150000</v>
      </c>
      <c r="D18" s="504"/>
      <c r="E18" s="504"/>
      <c r="F18" s="507"/>
      <c r="G18" s="507"/>
      <c r="H18" s="507"/>
      <c r="I18" s="508">
        <f t="shared" si="0"/>
        <v>150000</v>
      </c>
      <c r="J18" s="508"/>
      <c r="L18" s="493" t="s">
        <v>585</v>
      </c>
      <c r="M18" s="353">
        <f>'M. DE CALCULO DE GASTOS FIJOS'!E41</f>
        <v>199399.476</v>
      </c>
      <c r="N18" s="353"/>
    </row>
    <row r="19" spans="1:19" x14ac:dyDescent="0.2">
      <c r="A19" s="516" t="str">
        <f>'Estados Financieros '!B39</f>
        <v>Inventarios MP</v>
      </c>
      <c r="B19" s="515"/>
      <c r="C19" s="504">
        <f>'Estados Financieros '!C39</f>
        <v>140000</v>
      </c>
      <c r="D19" s="504"/>
      <c r="E19" s="504"/>
      <c r="F19" s="507"/>
      <c r="G19" s="507"/>
      <c r="H19" s="507"/>
      <c r="I19" s="508">
        <f t="shared" si="0"/>
        <v>140000</v>
      </c>
      <c r="J19" s="508"/>
      <c r="L19" s="493" t="s">
        <v>582</v>
      </c>
      <c r="M19" s="353"/>
      <c r="N19" s="353">
        <f>M18</f>
        <v>199399.476</v>
      </c>
      <c r="Q19" s="458" t="s">
        <v>535</v>
      </c>
      <c r="R19" s="458"/>
    </row>
    <row r="20" spans="1:19" x14ac:dyDescent="0.2">
      <c r="A20" s="516" t="str">
        <f>'Estados Financieros '!B40</f>
        <v>Inventarios PP</v>
      </c>
      <c r="B20" s="515"/>
      <c r="C20" s="504">
        <f>'Estados Financieros '!C40</f>
        <v>50000</v>
      </c>
      <c r="D20" s="504"/>
      <c r="E20" s="504"/>
      <c r="F20" s="507"/>
      <c r="G20" s="507"/>
      <c r="H20" s="507"/>
      <c r="I20" s="508">
        <f t="shared" si="0"/>
        <v>50000</v>
      </c>
      <c r="J20" s="508"/>
      <c r="L20" s="28">
        <v>6</v>
      </c>
      <c r="P20" s="76" t="s">
        <v>537</v>
      </c>
      <c r="Q20" s="420">
        <f>M39</f>
        <v>350600.52</v>
      </c>
      <c r="R20" s="168">
        <f>N37</f>
        <v>1925321.5395271373</v>
      </c>
      <c r="S20" t="s">
        <v>536</v>
      </c>
    </row>
    <row r="21" spans="1:19" x14ac:dyDescent="0.2">
      <c r="A21" s="514" t="s">
        <v>324</v>
      </c>
      <c r="B21" s="515">
        <f>SUM(C6:C20)</f>
        <v>1647800.06</v>
      </c>
      <c r="C21" s="504"/>
      <c r="D21" s="504"/>
      <c r="E21" s="504"/>
      <c r="F21" s="507"/>
      <c r="G21" s="507"/>
      <c r="H21" s="507"/>
      <c r="I21" s="508"/>
      <c r="J21" s="508"/>
      <c r="L21" s="494" t="s">
        <v>586</v>
      </c>
      <c r="M21" s="412">
        <f>'PROYECCIONES EGRESOS E INGRESOS'!B10</f>
        <v>1730377.5074728625</v>
      </c>
      <c r="N21" s="411"/>
      <c r="P21" s="76" t="s">
        <v>538</v>
      </c>
      <c r="Q21" s="421">
        <f>M42</f>
        <v>275299.47600000002</v>
      </c>
    </row>
    <row r="22" spans="1:19" x14ac:dyDescent="0.2">
      <c r="A22" s="514" t="s">
        <v>325</v>
      </c>
      <c r="B22" s="515"/>
      <c r="C22" s="504"/>
      <c r="D22" s="504"/>
      <c r="E22" s="504"/>
      <c r="F22" s="507"/>
      <c r="G22" s="507"/>
      <c r="H22" s="507"/>
      <c r="I22" s="508"/>
      <c r="J22" s="508"/>
      <c r="L22" s="494" t="s">
        <v>582</v>
      </c>
      <c r="M22" s="411"/>
      <c r="N22" s="412">
        <f>M21</f>
        <v>1730377.5074728625</v>
      </c>
      <c r="P22" s="76" t="s">
        <v>539</v>
      </c>
      <c r="Q22" s="422">
        <f>M45</f>
        <v>160449.191658</v>
      </c>
    </row>
    <row r="23" spans="1:19" x14ac:dyDescent="0.2">
      <c r="A23" s="516" t="s">
        <v>580</v>
      </c>
      <c r="B23" s="515"/>
      <c r="C23" s="504">
        <f>'Estados Financieros '!C43</f>
        <v>1450000</v>
      </c>
      <c r="D23" s="504"/>
      <c r="E23" s="504"/>
      <c r="F23" s="507"/>
      <c r="G23" s="507"/>
      <c r="H23" s="507"/>
      <c r="I23" s="508">
        <f t="shared" si="0"/>
        <v>1450000</v>
      </c>
      <c r="J23" s="508"/>
      <c r="L23" s="28">
        <v>7</v>
      </c>
      <c r="P23" s="76" t="s">
        <v>540</v>
      </c>
      <c r="Q23" s="423">
        <f>M48</f>
        <v>455588.94074765494</v>
      </c>
    </row>
    <row r="24" spans="1:19" x14ac:dyDescent="0.2">
      <c r="A24" s="516" t="str">
        <f>'Estados Financieros '!B44</f>
        <v>Edificio</v>
      </c>
      <c r="B24" s="515"/>
      <c r="C24" s="504">
        <f>'Estados Financieros '!C44</f>
        <v>1050000</v>
      </c>
      <c r="D24" s="504"/>
      <c r="E24" s="504"/>
      <c r="F24" s="507"/>
      <c r="G24" s="507"/>
      <c r="H24" s="507"/>
      <c r="I24" s="508">
        <f t="shared" si="0"/>
        <v>1050000</v>
      </c>
      <c r="J24" s="508"/>
      <c r="L24" s="494" t="s">
        <v>583</v>
      </c>
      <c r="M24" s="104">
        <f>'PROYECCIONES EGRESOS E INGRESOS'!B15</f>
        <v>199749.96000000002</v>
      </c>
      <c r="N24" s="411"/>
      <c r="P24" s="76"/>
      <c r="Q24" s="421">
        <f>SUM(Q20:Q23)</f>
        <v>1241938.128405655</v>
      </c>
    </row>
    <row r="25" spans="1:19" x14ac:dyDescent="0.2">
      <c r="A25" s="516" t="s">
        <v>457</v>
      </c>
      <c r="B25" s="515"/>
      <c r="C25" s="504">
        <f>'Estados Financieros '!C45</f>
        <v>1000000</v>
      </c>
      <c r="D25" s="504"/>
      <c r="E25" s="504" t="s">
        <v>544</v>
      </c>
      <c r="F25" s="507">
        <f>M9</f>
        <v>759000</v>
      </c>
      <c r="G25" s="507"/>
      <c r="H25" s="507"/>
      <c r="I25" s="508">
        <f>C25+F25</f>
        <v>1759000</v>
      </c>
      <c r="J25" s="508"/>
      <c r="L25" s="494" t="s">
        <v>582</v>
      </c>
      <c r="M25" s="411"/>
      <c r="N25" s="104">
        <f>M24</f>
        <v>199749.96000000002</v>
      </c>
      <c r="P25" s="76" t="s">
        <v>543</v>
      </c>
      <c r="Q25" s="421">
        <f>R20-Q24</f>
        <v>683383.41112148226</v>
      </c>
    </row>
    <row r="26" spans="1:19" x14ac:dyDescent="0.2">
      <c r="A26" s="516"/>
      <c r="B26" s="515"/>
      <c r="C26" s="504"/>
      <c r="D26" s="504"/>
      <c r="E26" s="504"/>
      <c r="F26" s="507"/>
      <c r="G26" s="507"/>
      <c r="H26" s="507"/>
      <c r="I26" s="508"/>
      <c r="J26" s="508"/>
      <c r="L26" s="28">
        <v>8</v>
      </c>
      <c r="Q26" s="419"/>
    </row>
    <row r="27" spans="1:19" x14ac:dyDescent="0.2">
      <c r="A27" s="516" t="str">
        <f>'Estados Financieros '!B46</f>
        <v>Mobiliario y equipo de oficina</v>
      </c>
      <c r="B27" s="515"/>
      <c r="C27" s="504">
        <f>'Estados Financieros '!C46</f>
        <v>200000</v>
      </c>
      <c r="D27" s="504"/>
      <c r="E27" s="504"/>
      <c r="F27" s="507"/>
      <c r="G27" s="507"/>
      <c r="H27" s="507"/>
      <c r="I27" s="508">
        <f>C27</f>
        <v>200000</v>
      </c>
      <c r="J27" s="508"/>
      <c r="L27" s="494" t="s">
        <v>517</v>
      </c>
      <c r="M27" s="104">
        <f>SUM('AMORTIZACIONES (4 AÑOS)'!F9:F20)</f>
        <v>160449.191658</v>
      </c>
      <c r="N27" s="411"/>
      <c r="Q27" s="419"/>
    </row>
    <row r="28" spans="1:19" x14ac:dyDescent="0.2">
      <c r="A28" s="516" t="str">
        <f>'Estados Financieros '!B47</f>
        <v xml:space="preserve">Depreciación Acum. </v>
      </c>
      <c r="B28" s="515"/>
      <c r="C28" s="504"/>
      <c r="D28" s="504">
        <f>'Estados Financieros '!C47</f>
        <v>1552500</v>
      </c>
      <c r="E28" s="504"/>
      <c r="F28" s="507"/>
      <c r="G28" s="507">
        <f>N31</f>
        <v>75900</v>
      </c>
      <c r="H28" s="507" t="s">
        <v>551</v>
      </c>
      <c r="I28" s="508"/>
      <c r="J28" s="508">
        <f>D28+G28</f>
        <v>1628400</v>
      </c>
      <c r="L28" s="494" t="s">
        <v>582</v>
      </c>
      <c r="M28" s="411"/>
      <c r="N28" s="104">
        <f>M27</f>
        <v>160449.191658</v>
      </c>
    </row>
    <row r="29" spans="1:19" x14ac:dyDescent="0.2">
      <c r="A29" s="516"/>
      <c r="B29" s="515"/>
      <c r="C29" s="504"/>
      <c r="D29" s="504"/>
      <c r="E29" s="504"/>
      <c r="F29" s="507"/>
      <c r="G29" s="507"/>
      <c r="H29" s="507"/>
      <c r="I29" s="508"/>
      <c r="J29" s="508"/>
      <c r="L29" s="28">
        <v>9</v>
      </c>
      <c r="Q29" s="418" t="s">
        <v>541</v>
      </c>
      <c r="R29" s="418"/>
    </row>
    <row r="30" spans="1:19" x14ac:dyDescent="0.2">
      <c r="A30" s="516" t="s">
        <v>326</v>
      </c>
      <c r="B30" s="515">
        <f>SUM(C23:C28)</f>
        <v>3700000</v>
      </c>
      <c r="C30" s="504"/>
      <c r="D30" s="504"/>
      <c r="E30" s="504"/>
      <c r="F30" s="507"/>
      <c r="G30" s="507"/>
      <c r="H30" s="507"/>
      <c r="I30" s="508"/>
      <c r="J30" s="508"/>
      <c r="L30" s="494" t="s">
        <v>520</v>
      </c>
      <c r="M30" s="104">
        <f>SUM(DEPRECIACIONES!E22:E29)</f>
        <v>75900</v>
      </c>
      <c r="N30" s="411"/>
      <c r="Q30" s="424"/>
      <c r="R30" s="168">
        <f>Q25</f>
        <v>683383.41112148226</v>
      </c>
      <c r="S30" t="s">
        <v>542</v>
      </c>
    </row>
    <row r="31" spans="1:19" x14ac:dyDescent="0.2">
      <c r="A31" s="516" t="s">
        <v>501</v>
      </c>
      <c r="B31" s="515"/>
      <c r="C31" s="504"/>
      <c r="D31" s="504"/>
      <c r="E31" s="504"/>
      <c r="F31" s="507"/>
      <c r="G31" s="507"/>
      <c r="H31" s="507"/>
      <c r="I31" s="508"/>
      <c r="J31" s="508"/>
      <c r="L31" s="494" t="s">
        <v>587</v>
      </c>
      <c r="M31" s="411"/>
      <c r="N31" s="104">
        <f>M30</f>
        <v>75900</v>
      </c>
    </row>
    <row r="32" spans="1:19" x14ac:dyDescent="0.2">
      <c r="A32" s="516" t="str">
        <f>'Estados Financieros '!B50</f>
        <v>Patentes</v>
      </c>
      <c r="B32" s="515"/>
      <c r="C32" s="504">
        <f>'Estados Financieros '!C50</f>
        <v>90000</v>
      </c>
      <c r="D32" s="504"/>
      <c r="E32" s="504"/>
      <c r="F32" s="507"/>
      <c r="G32" s="507"/>
      <c r="H32" s="507"/>
      <c r="I32" s="508">
        <f>C32</f>
        <v>90000</v>
      </c>
      <c r="J32" s="508"/>
      <c r="L32" s="28">
        <v>10</v>
      </c>
    </row>
    <row r="33" spans="1:14" x14ac:dyDescent="0.2">
      <c r="A33" s="516" t="str">
        <f>'Estados Financieros '!B51</f>
        <v>Amortización acum.</v>
      </c>
      <c r="B33" s="515"/>
      <c r="C33" s="504"/>
      <c r="D33" s="504">
        <f>'Estados Financieros '!C51</f>
        <v>81000</v>
      </c>
      <c r="E33" s="504"/>
      <c r="F33" s="507"/>
      <c r="G33" s="507"/>
      <c r="H33" s="507"/>
      <c r="I33" s="508"/>
      <c r="J33" s="508">
        <f>D33</f>
        <v>81000</v>
      </c>
      <c r="L33" s="494" t="s">
        <v>92</v>
      </c>
      <c r="M33" s="362">
        <f>'TIR - VAN'!F8</f>
        <v>1730377.5074728625</v>
      </c>
      <c r="N33" s="411"/>
    </row>
    <row r="34" spans="1:14" x14ac:dyDescent="0.2">
      <c r="A34" s="516"/>
      <c r="B34" s="515"/>
      <c r="C34" s="504"/>
      <c r="D34" s="504"/>
      <c r="E34" s="504"/>
      <c r="F34" s="507"/>
      <c r="G34" s="507"/>
      <c r="H34" s="507"/>
      <c r="I34" s="508"/>
      <c r="J34" s="508"/>
      <c r="L34" s="494" t="s">
        <v>518</v>
      </c>
      <c r="M34" s="411"/>
      <c r="N34" s="362">
        <f>'TIR - VAN'!F8</f>
        <v>1730377.5074728625</v>
      </c>
    </row>
    <row r="35" spans="1:14" x14ac:dyDescent="0.2">
      <c r="A35" s="516" t="s">
        <v>502</v>
      </c>
      <c r="B35" s="515">
        <f>C32+D33</f>
        <v>171000</v>
      </c>
      <c r="C35" s="504"/>
      <c r="D35" s="504"/>
      <c r="E35" s="504"/>
      <c r="F35" s="507"/>
      <c r="G35" s="507"/>
      <c r="H35" s="507"/>
      <c r="I35" s="508"/>
      <c r="J35" s="508"/>
      <c r="L35" s="28">
        <v>11</v>
      </c>
    </row>
    <row r="36" spans="1:14" x14ac:dyDescent="0.2">
      <c r="A36" s="516" t="s">
        <v>503</v>
      </c>
      <c r="B36" s="515">
        <f>B21+C23+C25+C24+C27-D28+C32-D33</f>
        <v>3804300.0600000005</v>
      </c>
      <c r="C36" s="504"/>
      <c r="D36" s="504"/>
      <c r="E36" s="504"/>
      <c r="F36" s="507"/>
      <c r="G36" s="507"/>
      <c r="H36" s="507"/>
      <c r="I36" s="508"/>
      <c r="J36" s="508"/>
      <c r="L36" s="494" t="s">
        <v>92</v>
      </c>
      <c r="M36" s="362">
        <f>Q6</f>
        <v>1925321.5395271373</v>
      </c>
      <c r="N36" s="411"/>
    </row>
    <row r="37" spans="1:14" x14ac:dyDescent="0.2">
      <c r="A37" s="516" t="s">
        <v>504</v>
      </c>
      <c r="B37" s="515"/>
      <c r="C37" s="504"/>
      <c r="D37" s="504"/>
      <c r="E37" s="504"/>
      <c r="F37" s="507"/>
      <c r="G37" s="507"/>
      <c r="H37" s="507"/>
      <c r="I37" s="508"/>
      <c r="J37" s="508"/>
      <c r="L37" s="494" t="s">
        <v>519</v>
      </c>
      <c r="M37" s="411"/>
      <c r="N37" s="362">
        <f>M36</f>
        <v>1925321.5395271373</v>
      </c>
    </row>
    <row r="38" spans="1:14" x14ac:dyDescent="0.2">
      <c r="A38" s="516" t="str">
        <f>'Estados Financieros '!D34</f>
        <v>Documentos por pagar C.P</v>
      </c>
      <c r="B38" s="515"/>
      <c r="C38" s="504"/>
      <c r="D38" s="504">
        <f>'Estados Financieros '!E34</f>
        <v>57000</v>
      </c>
      <c r="E38" s="504"/>
      <c r="F38" s="507"/>
      <c r="G38" s="507"/>
      <c r="H38" s="507"/>
      <c r="I38" s="508"/>
      <c r="J38" s="508">
        <f>D38+G38-F38-C38</f>
        <v>57000</v>
      </c>
      <c r="L38" s="28">
        <v>12</v>
      </c>
    </row>
    <row r="39" spans="1:14" x14ac:dyDescent="0.2">
      <c r="A39" s="516" t="s">
        <v>514</v>
      </c>
      <c r="B39" s="515"/>
      <c r="C39" s="504"/>
      <c r="D39" s="504"/>
      <c r="E39" s="504"/>
      <c r="F39" s="507"/>
      <c r="G39" s="507"/>
      <c r="H39" s="507"/>
      <c r="I39" s="508"/>
      <c r="J39" s="508"/>
      <c r="L39" s="494" t="s">
        <v>519</v>
      </c>
      <c r="M39" s="362">
        <f>Q7</f>
        <v>350600.52</v>
      </c>
      <c r="N39" s="411"/>
    </row>
    <row r="40" spans="1:14" x14ac:dyDescent="0.2">
      <c r="A40" s="516" t="str">
        <f>'Estados Financieros '!D35</f>
        <v xml:space="preserve">Proveedores </v>
      </c>
      <c r="B40" s="515"/>
      <c r="C40" s="504"/>
      <c r="D40" s="504">
        <f>'Estados Financieros '!E35</f>
        <v>110800</v>
      </c>
      <c r="E40" s="504"/>
      <c r="F40" s="507"/>
      <c r="G40" s="507"/>
      <c r="H40" s="507"/>
      <c r="I40" s="508"/>
      <c r="J40" s="508">
        <f>D40</f>
        <v>110800</v>
      </c>
      <c r="L40" s="494" t="s">
        <v>554</v>
      </c>
      <c r="M40" s="411"/>
      <c r="N40" s="362">
        <f>M39</f>
        <v>350600.52</v>
      </c>
    </row>
    <row r="41" spans="1:14" x14ac:dyDescent="0.2">
      <c r="A41" s="516" t="str">
        <f>'Estados Financieros '!D36</f>
        <v xml:space="preserve">Acreedores </v>
      </c>
      <c r="B41" s="515"/>
      <c r="C41" s="504"/>
      <c r="D41" s="504">
        <f>'Estados Financieros '!E36</f>
        <v>109200</v>
      </c>
      <c r="E41" s="504"/>
      <c r="F41" s="507"/>
      <c r="G41" s="507"/>
      <c r="H41" s="507"/>
      <c r="I41" s="508"/>
      <c r="J41" s="508">
        <f t="shared" ref="J41:J44" si="1">D41</f>
        <v>109200</v>
      </c>
      <c r="L41" s="28">
        <v>13</v>
      </c>
    </row>
    <row r="42" spans="1:14" x14ac:dyDescent="0.2">
      <c r="A42" s="516" t="str">
        <f>'Estados Financieros '!D37</f>
        <v>Impuestos por pagar</v>
      </c>
      <c r="B42" s="515"/>
      <c r="C42" s="504"/>
      <c r="D42" s="504">
        <f>'Estados Financieros '!E37</f>
        <v>198319.88308</v>
      </c>
      <c r="E42" s="504"/>
      <c r="F42" s="507"/>
      <c r="G42" s="507"/>
      <c r="H42" s="507"/>
      <c r="I42" s="508"/>
      <c r="J42" s="508">
        <f t="shared" si="1"/>
        <v>198319.88308</v>
      </c>
      <c r="L42" s="494" t="s">
        <v>519</v>
      </c>
      <c r="M42" s="362">
        <f>Q8</f>
        <v>275299.47600000002</v>
      </c>
      <c r="N42" s="411"/>
    </row>
    <row r="43" spans="1:14" x14ac:dyDescent="0.2">
      <c r="A43" s="516" t="str">
        <f>'Estados Financieros '!D38</f>
        <v xml:space="preserve">Creaditos Bancarios </v>
      </c>
      <c r="B43" s="515"/>
      <c r="C43" s="504"/>
      <c r="D43" s="504">
        <f>'Estados Financieros '!E38</f>
        <v>85500</v>
      </c>
      <c r="E43" s="504"/>
      <c r="F43" s="507"/>
      <c r="G43" s="507"/>
      <c r="H43" s="507"/>
      <c r="I43" s="508"/>
      <c r="J43" s="508">
        <f t="shared" si="1"/>
        <v>85500</v>
      </c>
      <c r="L43" s="494" t="s">
        <v>520</v>
      </c>
      <c r="M43" s="411"/>
      <c r="N43" s="362">
        <f>M42</f>
        <v>275299.47600000002</v>
      </c>
    </row>
    <row r="44" spans="1:14" x14ac:dyDescent="0.2">
      <c r="A44" s="516" t="str">
        <f>'Estados Financieros '!D39</f>
        <v>Servicios por pagar</v>
      </c>
      <c r="B44" s="515"/>
      <c r="C44" s="504"/>
      <c r="D44" s="504">
        <f>'Estados Financieros '!E39</f>
        <v>100000</v>
      </c>
      <c r="E44" s="504"/>
      <c r="F44" s="507"/>
      <c r="G44" s="507"/>
      <c r="H44" s="507"/>
      <c r="I44" s="508"/>
      <c r="J44" s="508">
        <f t="shared" si="1"/>
        <v>100000</v>
      </c>
      <c r="L44" s="28">
        <v>14</v>
      </c>
    </row>
    <row r="45" spans="1:14" x14ac:dyDescent="0.2">
      <c r="A45" s="516" t="s">
        <v>506</v>
      </c>
      <c r="B45" s="515">
        <f>SUM(D38:D44)</f>
        <v>660819.88308000006</v>
      </c>
      <c r="C45" s="504"/>
      <c r="D45" s="504"/>
      <c r="E45" s="504"/>
      <c r="F45" s="507"/>
      <c r="G45" s="507"/>
      <c r="H45" s="507"/>
      <c r="I45" s="508"/>
      <c r="J45" s="508"/>
      <c r="L45" s="494" t="s">
        <v>519</v>
      </c>
      <c r="M45" s="104">
        <f>Q11</f>
        <v>160449.191658</v>
      </c>
      <c r="N45" s="411"/>
    </row>
    <row r="46" spans="1:14" x14ac:dyDescent="0.2">
      <c r="A46" s="516" t="s">
        <v>505</v>
      </c>
      <c r="B46" s="515"/>
      <c r="C46" s="504"/>
      <c r="D46" s="504"/>
      <c r="E46" s="504"/>
      <c r="F46" s="507"/>
      <c r="G46" s="507"/>
      <c r="H46" s="507"/>
      <c r="I46" s="508"/>
      <c r="J46" s="508"/>
      <c r="L46" s="494" t="s">
        <v>521</v>
      </c>
      <c r="M46" s="411"/>
      <c r="N46" s="104">
        <f>M45</f>
        <v>160449.191658</v>
      </c>
    </row>
    <row r="47" spans="1:14" x14ac:dyDescent="0.2">
      <c r="A47" s="516" t="str">
        <f>'Estados Financieros '!D42</f>
        <v>Documentos por pagar L.P</v>
      </c>
      <c r="B47" s="515"/>
      <c r="C47" s="504"/>
      <c r="D47" s="504">
        <f>'Estados Financieros '!E42</f>
        <v>423000</v>
      </c>
      <c r="E47" s="504" t="s">
        <v>549</v>
      </c>
      <c r="F47" s="507">
        <f>M24</f>
        <v>199749.96000000002</v>
      </c>
      <c r="G47" s="507">
        <f>N10</f>
        <v>759000</v>
      </c>
      <c r="H47" s="507" t="s">
        <v>523</v>
      </c>
      <c r="I47" s="508"/>
      <c r="J47" s="508">
        <f>D47+G47-F47</f>
        <v>982250.04</v>
      </c>
      <c r="L47" s="28">
        <v>15</v>
      </c>
    </row>
    <row r="48" spans="1:14" x14ac:dyDescent="0.2">
      <c r="A48" s="516"/>
      <c r="B48" s="515"/>
      <c r="C48" s="504"/>
      <c r="D48" s="504"/>
      <c r="E48" s="504"/>
      <c r="F48" s="507"/>
      <c r="G48" s="507"/>
      <c r="H48" s="507"/>
      <c r="I48" s="508"/>
      <c r="J48" s="508"/>
      <c r="L48" s="494" t="s">
        <v>519</v>
      </c>
      <c r="M48" s="353">
        <f>Q14+Q15</f>
        <v>455588.94074765494</v>
      </c>
      <c r="N48" s="411"/>
    </row>
    <row r="49" spans="1:17" x14ac:dyDescent="0.2">
      <c r="A49" s="516" t="s">
        <v>507</v>
      </c>
      <c r="B49" s="515">
        <f>D47</f>
        <v>423000</v>
      </c>
      <c r="C49" s="504"/>
      <c r="D49" s="504"/>
      <c r="E49" s="504"/>
      <c r="F49" s="507"/>
      <c r="G49" s="507"/>
      <c r="H49" s="507"/>
      <c r="I49" s="508"/>
      <c r="J49" s="508"/>
      <c r="L49" s="494" t="s">
        <v>277</v>
      </c>
      <c r="M49" s="411"/>
      <c r="N49" s="353">
        <f>M48</f>
        <v>455588.94074765494</v>
      </c>
    </row>
    <row r="50" spans="1:17" x14ac:dyDescent="0.2">
      <c r="A50" s="516" t="s">
        <v>508</v>
      </c>
      <c r="B50" s="515">
        <f>SUM(B45,B49)</f>
        <v>1083819.8830800001</v>
      </c>
      <c r="C50" s="504"/>
      <c r="D50" s="504"/>
      <c r="E50" s="504"/>
      <c r="F50" s="507"/>
      <c r="G50" s="507"/>
      <c r="H50" s="507"/>
      <c r="I50" s="508"/>
      <c r="J50" s="508"/>
      <c r="L50" s="28">
        <v>16</v>
      </c>
    </row>
    <row r="51" spans="1:17" x14ac:dyDescent="0.2">
      <c r="A51" s="516" t="s">
        <v>327</v>
      </c>
      <c r="B51" s="515"/>
      <c r="C51" s="504"/>
      <c r="D51" s="504"/>
      <c r="E51" s="504"/>
      <c r="F51" s="507"/>
      <c r="G51" s="507"/>
      <c r="H51" s="507"/>
      <c r="I51" s="508"/>
      <c r="J51" s="508"/>
      <c r="L51" s="494" t="s">
        <v>519</v>
      </c>
      <c r="M51" s="362">
        <f>Q25</f>
        <v>683383.41112148226</v>
      </c>
      <c r="N51" s="411"/>
    </row>
    <row r="52" spans="1:17" x14ac:dyDescent="0.2">
      <c r="A52" s="516" t="str">
        <f>'Estados Financieros '!D45</f>
        <v>Capital social</v>
      </c>
      <c r="B52" s="515"/>
      <c r="C52" s="504"/>
      <c r="D52" s="504">
        <f>'Estados Financieros '!E45</f>
        <v>1567333.6500000001</v>
      </c>
      <c r="E52" s="504"/>
      <c r="F52" s="507"/>
      <c r="G52" s="507"/>
      <c r="H52" s="507"/>
      <c r="I52" s="508"/>
      <c r="J52" s="508">
        <f>D52</f>
        <v>1567333.6500000001</v>
      </c>
      <c r="L52" s="494" t="s">
        <v>522</v>
      </c>
      <c r="M52" s="411"/>
      <c r="N52" s="362">
        <f>Q25</f>
        <v>683383.41112148226</v>
      </c>
    </row>
    <row r="53" spans="1:17" x14ac:dyDescent="0.2">
      <c r="A53" s="516" t="str">
        <f>'Estados Financieros '!D46</f>
        <v>Reserva Legal</v>
      </c>
      <c r="B53" s="515"/>
      <c r="C53" s="504"/>
      <c r="D53" s="504">
        <f>'Estados Financieros '!E46</f>
        <v>313466.73000000004</v>
      </c>
      <c r="E53" s="504"/>
      <c r="F53" s="507"/>
      <c r="G53" s="507"/>
      <c r="H53" s="507"/>
      <c r="I53" s="508"/>
      <c r="J53" s="508">
        <f t="shared" ref="J53" si="2">D53</f>
        <v>313466.73000000004</v>
      </c>
      <c r="L53" s="28">
        <v>17</v>
      </c>
    </row>
    <row r="54" spans="1:17" x14ac:dyDescent="0.2">
      <c r="A54" s="516" t="str">
        <f>'Estados Financieros '!D47</f>
        <v>Resultado de Ejercicios A.</v>
      </c>
      <c r="B54" s="515"/>
      <c r="C54" s="504"/>
      <c r="D54" s="504">
        <f>'Estados Financieros '!E47</f>
        <v>252000</v>
      </c>
      <c r="E54" s="504"/>
      <c r="F54" s="507"/>
      <c r="G54" s="507">
        <f>N55</f>
        <v>337679.8</v>
      </c>
      <c r="H54" s="507" t="s">
        <v>564</v>
      </c>
      <c r="I54" s="508"/>
      <c r="J54" s="508">
        <f>D54+G54</f>
        <v>589679.80000000005</v>
      </c>
      <c r="L54" s="494" t="s">
        <v>558</v>
      </c>
      <c r="M54" s="104">
        <v>337679.8</v>
      </c>
      <c r="N54" s="411"/>
      <c r="Q54" s="492"/>
    </row>
    <row r="55" spans="1:17" x14ac:dyDescent="0.2">
      <c r="A55" s="516" t="str">
        <f>'Estados Financieros '!D48</f>
        <v xml:space="preserve">Utilidades Retenidas </v>
      </c>
      <c r="B55" s="515"/>
      <c r="C55" s="504"/>
      <c r="D55" s="504">
        <f>'Estados Financieros '!E48</f>
        <v>250000</v>
      </c>
      <c r="E55" s="504"/>
      <c r="F55" s="507"/>
      <c r="G55" s="507"/>
      <c r="H55" s="507"/>
      <c r="I55" s="508"/>
      <c r="J55" s="508">
        <f>D55</f>
        <v>250000</v>
      </c>
      <c r="L55" s="494" t="s">
        <v>559</v>
      </c>
      <c r="M55" s="411"/>
      <c r="N55" s="104">
        <f>M54</f>
        <v>337679.8</v>
      </c>
    </row>
    <row r="56" spans="1:17" x14ac:dyDescent="0.2">
      <c r="A56" s="516" t="str">
        <f>'Estados Financieros '!D49</f>
        <v>Utilidades del ejercicio</v>
      </c>
      <c r="B56" s="515"/>
      <c r="C56" s="504"/>
      <c r="D56" s="504">
        <f>'Estados Financieros '!H49</f>
        <v>337679.80092000001</v>
      </c>
      <c r="E56" s="504" t="s">
        <v>560</v>
      </c>
      <c r="F56" s="507">
        <v>337679.8</v>
      </c>
      <c r="G56" s="507">
        <f>N52</f>
        <v>683383.41112148226</v>
      </c>
      <c r="H56" s="507" t="s">
        <v>542</v>
      </c>
      <c r="I56" s="508"/>
      <c r="J56" s="508">
        <f>D56+G56-F56</f>
        <v>683383.41204148228</v>
      </c>
    </row>
    <row r="57" spans="1:17" x14ac:dyDescent="0.2">
      <c r="A57" s="516"/>
      <c r="B57" s="515"/>
      <c r="C57" s="504"/>
      <c r="D57" s="504"/>
      <c r="E57" s="504"/>
      <c r="F57" s="507"/>
      <c r="G57" s="507"/>
      <c r="H57" s="507"/>
      <c r="I57" s="508"/>
      <c r="J57" s="508"/>
    </row>
    <row r="58" spans="1:17" x14ac:dyDescent="0.2">
      <c r="A58" s="516" t="s">
        <v>509</v>
      </c>
      <c r="B58" s="515">
        <f>SUM(D52:D56)</f>
        <v>2720480.1809199997</v>
      </c>
      <c r="C58" s="504"/>
      <c r="D58" s="504"/>
      <c r="E58" s="504"/>
      <c r="F58" s="507"/>
      <c r="G58" s="507"/>
      <c r="H58" s="507"/>
      <c r="I58" s="508"/>
      <c r="J58" s="508"/>
    </row>
    <row r="59" spans="1:17" x14ac:dyDescent="0.2">
      <c r="A59" s="516" t="s">
        <v>510</v>
      </c>
      <c r="B59" s="515">
        <f>B50+B58</f>
        <v>3804300.0639999998</v>
      </c>
      <c r="C59" s="504"/>
      <c r="D59" s="504"/>
      <c r="E59" s="504"/>
      <c r="F59" s="507"/>
      <c r="G59" s="507"/>
      <c r="H59" s="507"/>
      <c r="I59" s="508"/>
      <c r="J59" s="508"/>
    </row>
    <row r="60" spans="1:17" x14ac:dyDescent="0.2">
      <c r="A60" s="516" t="s">
        <v>412</v>
      </c>
      <c r="B60" s="515"/>
      <c r="C60" s="504"/>
      <c r="D60" s="504"/>
      <c r="E60" s="504"/>
      <c r="F60" s="507"/>
      <c r="G60" s="507"/>
      <c r="H60" s="507"/>
      <c r="I60" s="508"/>
      <c r="J60" s="508"/>
    </row>
    <row r="61" spans="1:17" x14ac:dyDescent="0.2">
      <c r="A61" s="516" t="str">
        <f>'Estados Financieros '!G32</f>
        <v>Ventas</v>
      </c>
      <c r="B61" s="515"/>
      <c r="C61" s="504"/>
      <c r="D61" s="504"/>
      <c r="E61" s="504"/>
      <c r="F61" s="507"/>
      <c r="G61" s="507">
        <f>N13</f>
        <v>3655699.0469999998</v>
      </c>
      <c r="H61" s="507" t="s">
        <v>545</v>
      </c>
      <c r="I61" s="508"/>
      <c r="J61" s="508">
        <f>G61-F62-F63</f>
        <v>0</v>
      </c>
    </row>
    <row r="62" spans="1:17" x14ac:dyDescent="0.2">
      <c r="A62" s="516"/>
      <c r="B62" s="515"/>
      <c r="C62" s="504"/>
      <c r="D62" s="504"/>
      <c r="E62" s="504" t="s">
        <v>552</v>
      </c>
      <c r="F62" s="507">
        <f>M33</f>
        <v>1730377.5074728625</v>
      </c>
      <c r="G62" s="507"/>
      <c r="H62" s="507"/>
      <c r="I62" s="508"/>
      <c r="J62" s="508"/>
    </row>
    <row r="63" spans="1:17" x14ac:dyDescent="0.2">
      <c r="A63" s="516"/>
      <c r="B63" s="515"/>
      <c r="C63" s="504"/>
      <c r="D63" s="504"/>
      <c r="E63" s="504" t="s">
        <v>553</v>
      </c>
      <c r="F63" s="507">
        <f>M36</f>
        <v>1925321.5395271373</v>
      </c>
      <c r="G63" s="507"/>
      <c r="H63" s="507"/>
      <c r="I63" s="508"/>
      <c r="J63" s="508"/>
    </row>
    <row r="64" spans="1:17" x14ac:dyDescent="0.2">
      <c r="A64" s="516" t="str">
        <f>'Estados Financieros '!G33</f>
        <v>(-) Inventario Inicial</v>
      </c>
      <c r="B64" s="515"/>
      <c r="C64" s="504"/>
      <c r="D64" s="504"/>
      <c r="E64" s="504"/>
      <c r="F64" s="507"/>
      <c r="G64" s="507"/>
      <c r="H64" s="507"/>
      <c r="I64" s="508"/>
      <c r="J64" s="508"/>
    </row>
    <row r="65" spans="1:10" x14ac:dyDescent="0.2">
      <c r="A65" s="516" t="str">
        <f>'Estados Financieros '!G34</f>
        <v xml:space="preserve">(+)Compras </v>
      </c>
      <c r="B65" s="515"/>
      <c r="C65" s="504"/>
      <c r="D65" s="504"/>
      <c r="E65" s="504"/>
      <c r="F65" s="507"/>
      <c r="G65" s="507"/>
      <c r="H65" s="507"/>
      <c r="I65" s="508"/>
      <c r="J65" s="508"/>
    </row>
    <row r="66" spans="1:10" x14ac:dyDescent="0.2">
      <c r="A66" s="516" t="str">
        <f>'Estados Financieros '!G35</f>
        <v xml:space="preserve">(-)Inventario final </v>
      </c>
      <c r="B66" s="515"/>
      <c r="C66" s="504"/>
      <c r="D66" s="504"/>
      <c r="E66" s="504"/>
      <c r="F66" s="507"/>
      <c r="G66" s="507"/>
      <c r="H66" s="507"/>
      <c r="I66" s="508"/>
      <c r="J66" s="508"/>
    </row>
    <row r="67" spans="1:10" x14ac:dyDescent="0.2">
      <c r="A67" s="516" t="str">
        <f>'Estados Financieros '!G36</f>
        <v xml:space="preserve">(=)Costo de ventas </v>
      </c>
      <c r="B67" s="515"/>
      <c r="C67" s="504"/>
      <c r="D67" s="504"/>
      <c r="E67" s="504" t="s">
        <v>548</v>
      </c>
      <c r="F67" s="507">
        <f>M21</f>
        <v>1730377.5074728625</v>
      </c>
      <c r="G67" s="507"/>
      <c r="H67" s="507"/>
      <c r="I67" s="508">
        <f>F67-G68</f>
        <v>0</v>
      </c>
      <c r="J67" s="508"/>
    </row>
    <row r="68" spans="1:10" x14ac:dyDescent="0.2">
      <c r="A68" s="516"/>
      <c r="B68" s="515"/>
      <c r="C68" s="504"/>
      <c r="D68" s="504"/>
      <c r="E68" s="504"/>
      <c r="F68" s="507"/>
      <c r="G68" s="507">
        <f>N34</f>
        <v>1730377.5074728625</v>
      </c>
      <c r="H68" s="507" t="s">
        <v>552</v>
      </c>
      <c r="I68" s="508"/>
      <c r="J68" s="508"/>
    </row>
    <row r="69" spans="1:10" x14ac:dyDescent="0.2">
      <c r="A69" s="516" t="str">
        <f>'Estados Financieros '!G37</f>
        <v>(=)Utilidad Bruta</v>
      </c>
      <c r="B69" s="515"/>
      <c r="C69" s="504"/>
      <c r="D69" s="504"/>
      <c r="E69" s="504"/>
      <c r="F69" s="507"/>
      <c r="G69" s="507"/>
      <c r="H69" s="507"/>
      <c r="I69" s="508"/>
      <c r="J69" s="508"/>
    </row>
    <row r="70" spans="1:10" x14ac:dyDescent="0.2">
      <c r="A70" s="516"/>
      <c r="B70" s="515"/>
      <c r="C70" s="504"/>
      <c r="D70" s="504"/>
      <c r="E70" s="504"/>
      <c r="F70" s="507"/>
      <c r="G70" s="507"/>
      <c r="H70" s="507"/>
      <c r="I70" s="508"/>
      <c r="J70" s="508"/>
    </row>
    <row r="71" spans="1:10" x14ac:dyDescent="0.2">
      <c r="A71" s="516" t="str">
        <f>'Estados Financieros '!G39</f>
        <v>(-) Gastos de administración</v>
      </c>
      <c r="B71" s="515"/>
      <c r="C71" s="504"/>
      <c r="D71" s="504"/>
      <c r="E71" s="504" t="s">
        <v>546</v>
      </c>
      <c r="F71" s="507">
        <f>M15</f>
        <v>350600.52</v>
      </c>
      <c r="G71" s="507">
        <f>N40</f>
        <v>350600.52</v>
      </c>
      <c r="H71" s="507" t="s">
        <v>537</v>
      </c>
      <c r="I71" s="508">
        <f>F71-G71</f>
        <v>0</v>
      </c>
      <c r="J71" s="508"/>
    </row>
    <row r="72" spans="1:10" x14ac:dyDescent="0.2">
      <c r="A72" s="516"/>
      <c r="B72" s="515"/>
      <c r="C72" s="504"/>
      <c r="D72" s="504"/>
      <c r="E72" s="504"/>
      <c r="F72" s="507"/>
      <c r="G72" s="507"/>
      <c r="H72" s="507"/>
      <c r="I72" s="508"/>
      <c r="J72" s="508"/>
    </row>
    <row r="73" spans="1:10" x14ac:dyDescent="0.2">
      <c r="A73" s="516" t="str">
        <f>'Estados Financieros '!G40</f>
        <v>(-) Gastos de venta</v>
      </c>
      <c r="B73" s="515"/>
      <c r="C73" s="504"/>
      <c r="D73" s="504"/>
      <c r="E73" s="504" t="s">
        <v>547</v>
      </c>
      <c r="F73" s="507">
        <f>M18</f>
        <v>199399.476</v>
      </c>
      <c r="G73" s="507">
        <f>Q8</f>
        <v>275299.47600000002</v>
      </c>
      <c r="H73" s="507" t="s">
        <v>561</v>
      </c>
      <c r="I73" s="508">
        <f>F73+F74-G73</f>
        <v>0</v>
      </c>
      <c r="J73" s="508"/>
    </row>
    <row r="74" spans="1:10" x14ac:dyDescent="0.2">
      <c r="A74" s="516"/>
      <c r="B74" s="515"/>
      <c r="C74" s="504"/>
      <c r="D74" s="504"/>
      <c r="E74" s="504" t="s">
        <v>551</v>
      </c>
      <c r="F74" s="507">
        <f>M30</f>
        <v>75900</v>
      </c>
      <c r="G74" s="507"/>
      <c r="H74" s="507"/>
      <c r="I74" s="508"/>
      <c r="J74" s="508"/>
    </row>
    <row r="75" spans="1:10" x14ac:dyDescent="0.2">
      <c r="A75" s="516"/>
      <c r="B75" s="515"/>
      <c r="C75" s="504"/>
      <c r="D75" s="504"/>
      <c r="E75" s="504"/>
      <c r="F75" s="507"/>
      <c r="G75" s="507"/>
      <c r="H75" s="507"/>
      <c r="I75" s="508"/>
      <c r="J75" s="508"/>
    </row>
    <row r="76" spans="1:10" x14ac:dyDescent="0.2">
      <c r="A76" s="516" t="str">
        <f>'Estados Financieros '!G42</f>
        <v>Utilidad de operación</v>
      </c>
      <c r="B76" s="515"/>
      <c r="C76" s="504"/>
      <c r="D76" s="504"/>
      <c r="E76" s="504"/>
      <c r="F76" s="507"/>
      <c r="G76" s="507"/>
      <c r="H76" s="507"/>
      <c r="I76" s="508"/>
      <c r="J76" s="508"/>
    </row>
    <row r="77" spans="1:10" x14ac:dyDescent="0.2">
      <c r="A77" s="516" t="str">
        <f>'Estados Financieros '!G43</f>
        <v>Gastos financieros</v>
      </c>
      <c r="B77" s="515"/>
      <c r="C77" s="504"/>
      <c r="D77" s="504"/>
      <c r="E77" s="504" t="s">
        <v>550</v>
      </c>
      <c r="F77" s="507">
        <f>M27</f>
        <v>160449.191658</v>
      </c>
      <c r="G77" s="507">
        <f>N46</f>
        <v>160449.191658</v>
      </c>
      <c r="H77" s="507" t="s">
        <v>562</v>
      </c>
      <c r="I77" s="508">
        <f>F77-G77</f>
        <v>0</v>
      </c>
      <c r="J77" s="508"/>
    </row>
    <row r="78" spans="1:10" x14ac:dyDescent="0.2">
      <c r="A78" s="516"/>
      <c r="B78" s="515"/>
      <c r="C78" s="504"/>
      <c r="D78" s="504"/>
      <c r="E78" s="504"/>
      <c r="F78" s="507"/>
      <c r="G78" s="507"/>
      <c r="H78" s="507"/>
      <c r="I78" s="508"/>
      <c r="J78" s="508"/>
    </row>
    <row r="79" spans="1:10" x14ac:dyDescent="0.2">
      <c r="A79" s="516" t="str">
        <f>'Estados Financieros '!G44</f>
        <v>Utilidad antes de ISR y PTU</v>
      </c>
      <c r="B79" s="515"/>
      <c r="C79" s="504"/>
      <c r="D79" s="504"/>
      <c r="E79" s="504"/>
      <c r="F79" s="507"/>
      <c r="G79" s="507"/>
      <c r="H79" s="507"/>
      <c r="I79" s="508"/>
      <c r="J79" s="508"/>
    </row>
    <row r="80" spans="1:10" x14ac:dyDescent="0.2">
      <c r="A80" s="516" t="s">
        <v>277</v>
      </c>
      <c r="B80" s="515"/>
      <c r="C80" s="504"/>
      <c r="D80" s="504"/>
      <c r="E80" s="504"/>
      <c r="F80" s="507"/>
      <c r="G80" s="507">
        <f>N49</f>
        <v>455588.94074765494</v>
      </c>
      <c r="H80" s="507" t="s">
        <v>563</v>
      </c>
      <c r="I80" s="508"/>
      <c r="J80" s="508">
        <f>G80</f>
        <v>455588.94074765494</v>
      </c>
    </row>
    <row r="81" spans="1:12" x14ac:dyDescent="0.2">
      <c r="A81" s="516" t="str">
        <f>'Estados Financieros '!G46</f>
        <v>(-)PTU (10%)</v>
      </c>
      <c r="B81" s="515"/>
      <c r="C81" s="504"/>
      <c r="D81" s="504"/>
      <c r="E81" s="504"/>
      <c r="F81" s="507"/>
      <c r="G81" s="507"/>
      <c r="H81" s="507"/>
      <c r="I81" s="508"/>
      <c r="J81" s="508"/>
    </row>
    <row r="82" spans="1:12" x14ac:dyDescent="0.2">
      <c r="A82" s="516" t="str">
        <f>'Estados Financieros '!G47</f>
        <v>(-) ISR  (30%)</v>
      </c>
      <c r="B82" s="515"/>
      <c r="C82" s="504"/>
      <c r="D82" s="504"/>
      <c r="E82" s="504"/>
      <c r="F82" s="507"/>
      <c r="G82" s="507"/>
      <c r="H82" s="507"/>
      <c r="I82" s="508"/>
      <c r="J82" s="508"/>
    </row>
    <row r="83" spans="1:12" x14ac:dyDescent="0.2">
      <c r="A83" s="516"/>
      <c r="B83" s="515"/>
      <c r="C83" s="504"/>
      <c r="D83" s="504"/>
      <c r="E83" s="504"/>
      <c r="F83" s="507"/>
      <c r="G83" s="507"/>
      <c r="H83" s="507"/>
      <c r="I83" s="508"/>
      <c r="J83" s="508"/>
    </row>
    <row r="84" spans="1:12" x14ac:dyDescent="0.2">
      <c r="A84" s="516" t="s">
        <v>519</v>
      </c>
      <c r="B84" s="515"/>
      <c r="C84" s="504"/>
      <c r="D84" s="504"/>
      <c r="E84" s="504" t="s">
        <v>537</v>
      </c>
      <c r="F84" s="507">
        <f>M39</f>
        <v>350600.52</v>
      </c>
      <c r="G84" s="507">
        <f>N37</f>
        <v>1925321.5395271373</v>
      </c>
      <c r="H84" s="507" t="s">
        <v>536</v>
      </c>
      <c r="I84" s="508">
        <f>F84+F85+F86+F87+F88-G84</f>
        <v>3.9999999571591616E-3</v>
      </c>
      <c r="J84" s="508"/>
    </row>
    <row r="85" spans="1:12" x14ac:dyDescent="0.2">
      <c r="A85" s="516"/>
      <c r="B85" s="515"/>
      <c r="C85" s="504"/>
      <c r="D85" s="504"/>
      <c r="E85" s="504" t="s">
        <v>539</v>
      </c>
      <c r="F85" s="507">
        <f>M45</f>
        <v>160449.191658</v>
      </c>
      <c r="G85" s="507"/>
      <c r="H85" s="507"/>
      <c r="I85" s="508"/>
      <c r="J85" s="508"/>
    </row>
    <row r="86" spans="1:12" x14ac:dyDescent="0.2">
      <c r="A86" s="516"/>
      <c r="B86" s="515"/>
      <c r="C86" s="504"/>
      <c r="D86" s="504"/>
      <c r="E86" s="504" t="s">
        <v>540</v>
      </c>
      <c r="F86" s="507">
        <f>M48</f>
        <v>455588.94074765494</v>
      </c>
      <c r="G86" s="507"/>
      <c r="H86" s="507"/>
      <c r="I86" s="508"/>
      <c r="J86" s="508"/>
    </row>
    <row r="87" spans="1:12" x14ac:dyDescent="0.2">
      <c r="A87" s="516"/>
      <c r="B87" s="515"/>
      <c r="C87" s="504"/>
      <c r="D87" s="504"/>
      <c r="E87" s="504" t="s">
        <v>543</v>
      </c>
      <c r="F87" s="507">
        <f>M51</f>
        <v>683383.41112148226</v>
      </c>
      <c r="G87" s="507"/>
      <c r="H87" s="507"/>
      <c r="I87" s="508"/>
      <c r="J87" s="508"/>
    </row>
    <row r="88" spans="1:12" x14ac:dyDescent="0.2">
      <c r="A88" s="516"/>
      <c r="B88" s="515"/>
      <c r="C88" s="504"/>
      <c r="D88" s="504"/>
      <c r="E88" s="504" t="s">
        <v>538</v>
      </c>
      <c r="F88" s="507">
        <f>275299.48</f>
        <v>275299.48</v>
      </c>
      <c r="G88" s="507"/>
      <c r="H88" s="507"/>
      <c r="I88" s="508"/>
      <c r="J88" s="508"/>
    </row>
    <row r="89" spans="1:12" x14ac:dyDescent="0.2">
      <c r="A89" s="516"/>
      <c r="B89" s="515"/>
      <c r="C89" s="504"/>
      <c r="D89" s="504"/>
      <c r="E89" s="504"/>
      <c r="F89" s="507"/>
      <c r="G89" s="507"/>
      <c r="H89" s="507"/>
      <c r="I89" s="508"/>
      <c r="J89" s="508">
        <f>G89</f>
        <v>0</v>
      </c>
    </row>
    <row r="90" spans="1:12" x14ac:dyDescent="0.2">
      <c r="C90" s="425">
        <f>SUM(C5:C89)</f>
        <v>5437800.0600000005</v>
      </c>
      <c r="D90" s="425">
        <f>SUM(D5:D89)</f>
        <v>5437800.0640000012</v>
      </c>
      <c r="E90" s="425"/>
      <c r="F90" s="425">
        <f>SUM(F5:F89)</f>
        <v>13808876.092657998</v>
      </c>
      <c r="G90" s="425">
        <f>SUM(G5:G89)</f>
        <v>13808876.088657998</v>
      </c>
      <c r="H90" s="425"/>
      <c r="I90" s="425">
        <f>SUM(I5:I89)</f>
        <v>7211922.4558691364</v>
      </c>
      <c r="J90" s="425">
        <f>SUM(J5:J89)</f>
        <v>7211922.4558691382</v>
      </c>
    </row>
    <row r="91" spans="1:12" x14ac:dyDescent="0.2">
      <c r="D91" s="110">
        <f>C90-D90</f>
        <v>-4.0000006556510925E-3</v>
      </c>
      <c r="G91" s="110">
        <f>F90-G90</f>
        <v>4.0000006556510925E-3</v>
      </c>
      <c r="I91" t="s">
        <v>557</v>
      </c>
      <c r="J91" s="110">
        <f>I90-J90</f>
        <v>0</v>
      </c>
      <c r="L91" s="110"/>
    </row>
    <row r="92" spans="1:12" x14ac:dyDescent="0.2">
      <c r="G92" s="110">
        <f>G91/2</f>
        <v>2.0000003278255463E-3</v>
      </c>
    </row>
  </sheetData>
  <mergeCells count="5">
    <mergeCell ref="F3:G3"/>
    <mergeCell ref="L3:N3"/>
    <mergeCell ref="C3:D3"/>
    <mergeCell ref="I3:J3"/>
    <mergeCell ref="Q19:R19"/>
  </mergeCells>
  <pageMargins left="0.75" right="0.75" top="1" bottom="1" header="0" footer="0"/>
  <pageSetup orientation="portrait" horizontalDpi="0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F017B-7D1E-4829-A8B4-B7447083BA1C}">
  <dimension ref="B7:L34"/>
  <sheetViews>
    <sheetView tabSelected="1" topLeftCell="B8" zoomScale="85" workbookViewId="0">
      <selection activeCell="E27" sqref="E27"/>
    </sheetView>
    <sheetView zoomScale="64" workbookViewId="1"/>
  </sheetViews>
  <sheetFormatPr baseColWidth="10" defaultRowHeight="12.75" x14ac:dyDescent="0.2"/>
  <cols>
    <col min="2" max="2" width="27.85546875" customWidth="1"/>
    <col min="3" max="3" width="20.28515625" customWidth="1"/>
    <col min="4" max="4" width="27.28515625" customWidth="1"/>
    <col min="5" max="5" width="21.140625" customWidth="1"/>
    <col min="9" max="9" width="33.7109375" customWidth="1"/>
    <col min="10" max="10" width="26.28515625" customWidth="1"/>
    <col min="12" max="12" width="13.140625" bestFit="1" customWidth="1"/>
  </cols>
  <sheetData>
    <row r="7" spans="2:12" ht="21.75" customHeight="1" x14ac:dyDescent="0.2">
      <c r="B7" s="480" t="s">
        <v>578</v>
      </c>
      <c r="C7" s="481"/>
      <c r="D7" s="481"/>
      <c r="E7" s="482"/>
      <c r="I7" s="490" t="s">
        <v>581</v>
      </c>
      <c r="J7" s="491"/>
    </row>
    <row r="8" spans="2:12" ht="18.75" customHeight="1" x14ac:dyDescent="0.2">
      <c r="B8" s="477" t="s">
        <v>577</v>
      </c>
      <c r="C8" s="478"/>
      <c r="D8" s="478"/>
      <c r="E8" s="479"/>
      <c r="I8" s="484" t="s">
        <v>579</v>
      </c>
      <c r="J8" s="485"/>
    </row>
    <row r="9" spans="2:12" x14ac:dyDescent="0.2">
      <c r="B9" s="467" t="s">
        <v>415</v>
      </c>
      <c r="C9" s="250"/>
      <c r="D9" s="469" t="s">
        <v>416</v>
      </c>
      <c r="E9" s="250"/>
      <c r="I9" s="483"/>
      <c r="J9" s="486"/>
    </row>
    <row r="10" spans="2:12" x14ac:dyDescent="0.2">
      <c r="B10" s="467" t="s">
        <v>422</v>
      </c>
      <c r="C10" s="254"/>
      <c r="D10" s="469" t="s">
        <v>423</v>
      </c>
      <c r="E10" s="495"/>
      <c r="I10" s="489" t="s">
        <v>417</v>
      </c>
      <c r="J10" s="501">
        <f>'Balanza Proforma'!G61</f>
        <v>3655699.0469999998</v>
      </c>
    </row>
    <row r="11" spans="2:12" ht="15" x14ac:dyDescent="0.25">
      <c r="B11" s="265" t="s">
        <v>426</v>
      </c>
      <c r="C11" s="254">
        <f>'Balanza Proforma'!C6</f>
        <v>13500</v>
      </c>
      <c r="D11" s="255" t="s">
        <v>427</v>
      </c>
      <c r="E11" s="254">
        <f>'Balanza Proforma'!J38</f>
        <v>57000</v>
      </c>
      <c r="I11" s="476" t="s">
        <v>590</v>
      </c>
      <c r="J11" s="501" t="s">
        <v>594</v>
      </c>
    </row>
    <row r="12" spans="2:12" ht="15" x14ac:dyDescent="0.25">
      <c r="B12" s="265" t="s">
        <v>430</v>
      </c>
      <c r="C12" s="254">
        <f>'Balanza Proforma'!I7</f>
        <v>1922922.4518691369</v>
      </c>
      <c r="D12" s="255" t="s">
        <v>431</v>
      </c>
      <c r="E12" s="254">
        <f>'Balanza Proforma'!J40</f>
        <v>110800</v>
      </c>
      <c r="I12" s="476" t="s">
        <v>428</v>
      </c>
      <c r="J12" s="501">
        <f>COSTOS!N36</f>
        <v>2134377.8234728621</v>
      </c>
    </row>
    <row r="13" spans="2:12" ht="15" x14ac:dyDescent="0.25">
      <c r="B13" s="265" t="s">
        <v>433</v>
      </c>
      <c r="C13" s="254">
        <f>'Balanza Proforma'!I16</f>
        <v>315000</v>
      </c>
      <c r="D13" s="465" t="s">
        <v>434</v>
      </c>
      <c r="E13" s="254">
        <f>'Balanza Proforma'!J41</f>
        <v>109200</v>
      </c>
      <c r="I13" s="253" t="s">
        <v>432</v>
      </c>
      <c r="J13" s="501">
        <f>C15+C16+C17</f>
        <v>340000</v>
      </c>
      <c r="L13" s="279">
        <f>J12-J13</f>
        <v>1794377.8234728621</v>
      </c>
    </row>
    <row r="14" spans="2:12" ht="15" x14ac:dyDescent="0.25">
      <c r="B14" s="265" t="s">
        <v>436</v>
      </c>
      <c r="C14" s="254">
        <f>'Balanza Proforma'!I17</f>
        <v>85000</v>
      </c>
      <c r="D14" s="255" t="s">
        <v>437</v>
      </c>
      <c r="E14" s="254">
        <f>'Balanza Proforma'!J80+'Balanza Proforma'!J42</f>
        <v>653908.82382765494</v>
      </c>
      <c r="I14" s="487" t="s">
        <v>435</v>
      </c>
      <c r="J14" s="502">
        <f>'Balanza Proforma'!F67</f>
        <v>1730377.5074728625</v>
      </c>
      <c r="L14" s="279">
        <f>L13-J14</f>
        <v>64000.315999999642</v>
      </c>
    </row>
    <row r="15" spans="2:12" ht="15" x14ac:dyDescent="0.25">
      <c r="B15" s="265" t="s">
        <v>439</v>
      </c>
      <c r="C15" s="254">
        <f>'Balanza Proforma'!I18</f>
        <v>150000</v>
      </c>
      <c r="D15" s="255" t="s">
        <v>440</v>
      </c>
      <c r="E15" s="254">
        <f>'Balanza Proforma'!J43</f>
        <v>85500</v>
      </c>
      <c r="I15" s="489" t="s">
        <v>438</v>
      </c>
      <c r="J15" s="502">
        <f>J10-J14</f>
        <v>1925321.5395271373</v>
      </c>
    </row>
    <row r="16" spans="2:12" x14ac:dyDescent="0.2">
      <c r="B16" s="265" t="s">
        <v>442</v>
      </c>
      <c r="C16" s="254">
        <f>'Balanza Proforma'!I19</f>
        <v>140000</v>
      </c>
      <c r="D16" s="255" t="s">
        <v>443</v>
      </c>
      <c r="E16" s="254">
        <f>'Balanza Proforma'!J44</f>
        <v>100000</v>
      </c>
      <c r="I16" s="488"/>
      <c r="J16" s="501"/>
    </row>
    <row r="17" spans="2:12" ht="15" x14ac:dyDescent="0.25">
      <c r="B17" s="265" t="s">
        <v>446</v>
      </c>
      <c r="C17" s="254">
        <f>'Balanza Proforma'!I20</f>
        <v>50000</v>
      </c>
      <c r="D17" s="465"/>
      <c r="E17" s="495"/>
      <c r="I17" s="253" t="s">
        <v>444</v>
      </c>
      <c r="J17" s="501">
        <f>'Balanza Proforma'!F71</f>
        <v>350600.52</v>
      </c>
      <c r="L17" s="279"/>
    </row>
    <row r="18" spans="2:12" ht="15" x14ac:dyDescent="0.25">
      <c r="B18" s="466" t="s">
        <v>565</v>
      </c>
      <c r="C18" s="495">
        <f>SUM(C11:C17)</f>
        <v>2676422.4518691367</v>
      </c>
      <c r="D18" s="468" t="s">
        <v>566</v>
      </c>
      <c r="E18" s="495">
        <f>SUM(E11:E16)</f>
        <v>1116408.8238276551</v>
      </c>
      <c r="I18" s="253" t="s">
        <v>448</v>
      </c>
      <c r="J18" s="501">
        <f>'Balanza Proforma'!F73+'Balanza Proforma'!F74</f>
        <v>275299.47600000002</v>
      </c>
    </row>
    <row r="19" spans="2:12" ht="15" x14ac:dyDescent="0.25">
      <c r="C19" s="495"/>
      <c r="D19" s="465"/>
      <c r="E19" s="495"/>
      <c r="I19" s="489" t="s">
        <v>452</v>
      </c>
      <c r="J19" s="501">
        <f>J15-J17-J18</f>
        <v>1299421.5435271373</v>
      </c>
    </row>
    <row r="20" spans="2:12" x14ac:dyDescent="0.2">
      <c r="B20" s="48" t="s">
        <v>568</v>
      </c>
      <c r="C20" s="495"/>
      <c r="D20" s="470" t="s">
        <v>569</v>
      </c>
      <c r="E20" s="495"/>
      <c r="I20" s="488"/>
      <c r="J20" s="501"/>
    </row>
    <row r="21" spans="2:12" x14ac:dyDescent="0.2">
      <c r="B21" s="265" t="s">
        <v>453</v>
      </c>
      <c r="C21" s="254">
        <f>'Balanza Proforma'!C23</f>
        <v>1450000</v>
      </c>
      <c r="D21" s="255" t="s">
        <v>451</v>
      </c>
      <c r="E21" s="254">
        <f>'Balanza Proforma'!J47</f>
        <v>982250.04</v>
      </c>
      <c r="I21" s="253" t="s">
        <v>454</v>
      </c>
      <c r="J21" s="501">
        <f>'Balanza Proforma'!F77</f>
        <v>160449.191658</v>
      </c>
    </row>
    <row r="22" spans="2:12" ht="15" x14ac:dyDescent="0.25">
      <c r="B22" s="265" t="s">
        <v>441</v>
      </c>
      <c r="C22" s="254">
        <f>'Balanza Proforma'!C24</f>
        <v>1050000</v>
      </c>
      <c r="E22" s="496"/>
      <c r="I22" s="489" t="s">
        <v>456</v>
      </c>
      <c r="J22" s="501">
        <f>J19-J21</f>
        <v>1138972.3518691373</v>
      </c>
    </row>
    <row r="23" spans="2:12" ht="15" x14ac:dyDescent="0.25">
      <c r="B23" s="265" t="s">
        <v>457</v>
      </c>
      <c r="C23" s="254">
        <f>'Balanza Proforma'!I25</f>
        <v>1759000</v>
      </c>
      <c r="D23" s="468" t="s">
        <v>567</v>
      </c>
      <c r="E23" s="495">
        <f>E21</f>
        <v>982250.04</v>
      </c>
      <c r="I23" s="476"/>
      <c r="J23" s="501"/>
    </row>
    <row r="24" spans="2:12" ht="15" x14ac:dyDescent="0.25">
      <c r="B24" s="265" t="s">
        <v>459</v>
      </c>
      <c r="C24" s="254">
        <f>'Balanza Proforma'!I27</f>
        <v>200000</v>
      </c>
      <c r="E24" s="497"/>
      <c r="I24" s="253" t="s">
        <v>461</v>
      </c>
      <c r="J24" s="501">
        <f>'Balanza Proforma'!Q14</f>
        <v>113897.23518691373</v>
      </c>
    </row>
    <row r="25" spans="2:12" ht="15" x14ac:dyDescent="0.25">
      <c r="B25" s="465" t="s">
        <v>475</v>
      </c>
      <c r="C25" s="254">
        <f>'Balanza Proforma'!J28</f>
        <v>1628400</v>
      </c>
      <c r="D25" s="471" t="s">
        <v>571</v>
      </c>
      <c r="E25" s="495"/>
      <c r="I25" s="253" t="s">
        <v>464</v>
      </c>
      <c r="J25" s="501">
        <f>'Balanza Proforma'!Q15</f>
        <v>341691.70556074119</v>
      </c>
    </row>
    <row r="26" spans="2:12" ht="15" x14ac:dyDescent="0.25">
      <c r="B26" s="48" t="s">
        <v>572</v>
      </c>
      <c r="C26" s="495">
        <f>SUM(C21:C24)-C25</f>
        <v>2830600</v>
      </c>
      <c r="D26" s="255" t="s">
        <v>458</v>
      </c>
      <c r="E26" s="254">
        <f>'Balanza Proforma'!J52+'Balanza Proforma'!C6</f>
        <v>1580833.6500000001</v>
      </c>
      <c r="I26" s="476"/>
      <c r="J26" s="501"/>
    </row>
    <row r="27" spans="2:12" ht="15" x14ac:dyDescent="0.25">
      <c r="C27" s="495"/>
      <c r="D27" s="465" t="s">
        <v>460</v>
      </c>
      <c r="E27" s="254">
        <f>'Balanza Proforma'!J53</f>
        <v>313466.73000000004</v>
      </c>
      <c r="I27" s="489" t="s">
        <v>468</v>
      </c>
      <c r="J27" s="503">
        <f>J22-J24-J25</f>
        <v>683383.41112148226</v>
      </c>
    </row>
    <row r="28" spans="2:12" x14ac:dyDescent="0.2">
      <c r="B28" s="466" t="s">
        <v>570</v>
      </c>
      <c r="C28" s="495"/>
      <c r="D28" s="255" t="s">
        <v>463</v>
      </c>
      <c r="E28" s="254">
        <f>'Balanza Proforma'!J54</f>
        <v>589679.80000000005</v>
      </c>
    </row>
    <row r="29" spans="2:12" ht="15" x14ac:dyDescent="0.25">
      <c r="B29" s="265" t="s">
        <v>449</v>
      </c>
      <c r="C29" s="498">
        <f>'Balanza Proforma'!I32</f>
        <v>90000</v>
      </c>
      <c r="D29" s="255" t="s">
        <v>465</v>
      </c>
      <c r="E29" s="254">
        <f>'Balanza Proforma'!J55</f>
        <v>250000</v>
      </c>
    </row>
    <row r="30" spans="2:12" ht="15" x14ac:dyDescent="0.25">
      <c r="B30" s="265" t="s">
        <v>470</v>
      </c>
      <c r="C30" s="254">
        <f>'Balanza Proforma'!J33</f>
        <v>81000</v>
      </c>
      <c r="D30" s="465" t="s">
        <v>476</v>
      </c>
      <c r="E30" s="254">
        <f>'Balanza Proforma'!J56</f>
        <v>683383.41204148228</v>
      </c>
    </row>
    <row r="31" spans="2:12" ht="15" x14ac:dyDescent="0.25">
      <c r="B31" s="468" t="s">
        <v>573</v>
      </c>
      <c r="C31" s="495">
        <f>C29-C30</f>
        <v>9000</v>
      </c>
      <c r="D31" s="475" t="s">
        <v>576</v>
      </c>
      <c r="E31" s="495">
        <f>SUM(E26:E30)</f>
        <v>3417363.5920414822</v>
      </c>
    </row>
    <row r="32" spans="2:12" x14ac:dyDescent="0.2">
      <c r="C32" s="495"/>
      <c r="E32" s="495"/>
    </row>
    <row r="33" spans="2:5" x14ac:dyDescent="0.2">
      <c r="B33" s="472" t="s">
        <v>574</v>
      </c>
      <c r="C33" s="473">
        <f>C18+C26+C31</f>
        <v>5516022.4518691367</v>
      </c>
      <c r="D33" s="474" t="s">
        <v>575</v>
      </c>
      <c r="E33" s="473">
        <f>E18+E23+E31</f>
        <v>5516022.4558691373</v>
      </c>
    </row>
    <row r="34" spans="2:5" x14ac:dyDescent="0.2">
      <c r="E34" s="168">
        <f>E33-C33</f>
        <v>4.0000006556510925E-3</v>
      </c>
    </row>
  </sheetData>
  <mergeCells count="4">
    <mergeCell ref="B7:E7"/>
    <mergeCell ref="I7:J7"/>
    <mergeCell ref="B8:E8"/>
    <mergeCell ref="I8:J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7B2FF-E49E-47C5-9F7A-C54E28EDF184}">
  <dimension ref="A4:X63"/>
  <sheetViews>
    <sheetView topLeftCell="B24" zoomScale="64" workbookViewId="0">
      <selection activeCell="I33" sqref="I33"/>
    </sheetView>
    <sheetView tabSelected="1" zoomScale="58" zoomScaleNormal="100" workbookViewId="1"/>
  </sheetViews>
  <sheetFormatPr baseColWidth="10" defaultColWidth="9.140625" defaultRowHeight="15" x14ac:dyDescent="0.25"/>
  <cols>
    <col min="1" max="1" width="14.140625" style="246" bestFit="1" customWidth="1"/>
    <col min="2" max="2" width="28.140625" style="246" bestFit="1" customWidth="1"/>
    <col min="3" max="3" width="19.5703125" style="246" customWidth="1"/>
    <col min="4" max="4" width="25" style="246" customWidth="1"/>
    <col min="5" max="5" width="19.28515625" style="246" customWidth="1"/>
    <col min="6" max="6" width="11.42578125" style="246" bestFit="1" customWidth="1"/>
    <col min="7" max="7" width="26.7109375" style="246" bestFit="1" customWidth="1"/>
    <col min="8" max="8" width="21.28515625" style="246" customWidth="1"/>
    <col min="9" max="9" width="22" style="246" customWidth="1"/>
    <col min="10" max="10" width="11.42578125" style="246" bestFit="1" customWidth="1"/>
    <col min="11" max="11" width="45.5703125" style="246" customWidth="1"/>
    <col min="12" max="12" width="19" style="246" customWidth="1"/>
    <col min="13" max="13" width="8" style="246" customWidth="1"/>
    <col min="14" max="14" width="16.5703125" style="246" customWidth="1"/>
    <col min="15" max="15" width="11.42578125" style="246" bestFit="1" customWidth="1"/>
    <col min="16" max="16" width="12.42578125" style="246" bestFit="1" customWidth="1"/>
    <col min="17" max="17" width="17.5703125" style="246" customWidth="1"/>
    <col min="18" max="20" width="11.42578125" style="246" bestFit="1" customWidth="1"/>
    <col min="21" max="21" width="12.42578125" style="246" customWidth="1"/>
    <col min="22" max="16384" width="9.140625" style="246"/>
  </cols>
  <sheetData>
    <row r="4" spans="1:24" x14ac:dyDescent="0.25">
      <c r="A4" s="247"/>
      <c r="B4" s="460" t="s">
        <v>411</v>
      </c>
      <c r="C4" s="461"/>
      <c r="D4" s="461"/>
      <c r="E4" s="462"/>
      <c r="F4" s="247"/>
      <c r="G4" s="460" t="s">
        <v>412</v>
      </c>
      <c r="H4" s="462"/>
      <c r="I4" s="248" t="s">
        <v>413</v>
      </c>
      <c r="J4" s="290"/>
      <c r="K4" s="290" t="s">
        <v>414</v>
      </c>
      <c r="L4" s="290"/>
      <c r="M4" s="290"/>
      <c r="N4" s="290"/>
      <c r="O4" s="290"/>
      <c r="P4" s="290"/>
      <c r="Q4" s="290"/>
      <c r="R4" s="290"/>
      <c r="S4" s="290"/>
      <c r="T4" s="290"/>
      <c r="U4" s="290"/>
      <c r="V4" s="290"/>
      <c r="W4" s="290"/>
      <c r="X4" s="290"/>
    </row>
    <row r="5" spans="1:24" x14ac:dyDescent="0.25">
      <c r="A5" s="247"/>
      <c r="B5" s="249" t="s">
        <v>415</v>
      </c>
      <c r="C5" s="250"/>
      <c r="D5" s="251" t="s">
        <v>416</v>
      </c>
      <c r="E5" s="250"/>
      <c r="F5" s="247"/>
      <c r="G5" s="249" t="s">
        <v>417</v>
      </c>
      <c r="H5" s="250">
        <v>2100000</v>
      </c>
      <c r="I5" s="252"/>
      <c r="J5" s="290"/>
      <c r="K5" s="290" t="s">
        <v>418</v>
      </c>
      <c r="L5" s="290" t="s">
        <v>419</v>
      </c>
      <c r="M5" s="290" t="s">
        <v>420</v>
      </c>
      <c r="N5" s="290" t="s">
        <v>421</v>
      </c>
      <c r="O5" s="290"/>
      <c r="P5" s="290"/>
      <c r="Q5" s="290"/>
      <c r="R5" s="290"/>
      <c r="S5" s="290"/>
      <c r="T5" s="290"/>
      <c r="U5" s="290"/>
      <c r="V5" s="290"/>
      <c r="W5" s="290"/>
      <c r="X5" s="290"/>
    </row>
    <row r="6" spans="1:24" x14ac:dyDescent="0.25">
      <c r="A6" s="314"/>
      <c r="B6" s="253" t="s">
        <v>422</v>
      </c>
      <c r="C6" s="254"/>
      <c r="D6" s="255" t="s">
        <v>423</v>
      </c>
      <c r="E6" s="254"/>
      <c r="F6" s="247"/>
      <c r="G6" s="315" t="s">
        <v>424</v>
      </c>
      <c r="H6" s="254">
        <v>400000</v>
      </c>
      <c r="I6" s="252"/>
      <c r="J6" s="290"/>
      <c r="K6" s="290" t="s">
        <v>425</v>
      </c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</row>
    <row r="7" spans="1:24" x14ac:dyDescent="0.25">
      <c r="A7" s="247"/>
      <c r="B7" s="253" t="s">
        <v>426</v>
      </c>
      <c r="C7" s="254">
        <v>2500</v>
      </c>
      <c r="D7" s="255" t="s">
        <v>427</v>
      </c>
      <c r="E7" s="254">
        <v>54500</v>
      </c>
      <c r="F7" s="247"/>
      <c r="G7" s="315" t="s">
        <v>428</v>
      </c>
      <c r="H7" s="254">
        <v>750000</v>
      </c>
      <c r="I7" s="252"/>
      <c r="J7" s="290"/>
      <c r="K7" s="290" t="s">
        <v>429</v>
      </c>
      <c r="L7" s="290"/>
      <c r="M7" s="290"/>
      <c r="N7" s="290">
        <v>2015</v>
      </c>
      <c r="O7" s="290">
        <v>2016</v>
      </c>
      <c r="P7" s="290">
        <v>2017</v>
      </c>
      <c r="Q7" s="290">
        <v>2018</v>
      </c>
      <c r="R7" s="290">
        <v>2019</v>
      </c>
      <c r="S7" s="290">
        <v>2020</v>
      </c>
      <c r="T7" s="290">
        <v>2022</v>
      </c>
      <c r="U7" s="290">
        <v>2023</v>
      </c>
      <c r="V7" s="290">
        <v>2024</v>
      </c>
      <c r="W7" s="290"/>
      <c r="X7" s="290"/>
    </row>
    <row r="8" spans="1:24" x14ac:dyDescent="0.25">
      <c r="A8" s="247"/>
      <c r="B8" s="253" t="s">
        <v>430</v>
      </c>
      <c r="C8" s="254">
        <v>515000</v>
      </c>
      <c r="D8" s="255" t="s">
        <v>431</v>
      </c>
      <c r="E8" s="254">
        <v>140000</v>
      </c>
      <c r="F8" s="247"/>
      <c r="G8" s="253" t="s">
        <v>432</v>
      </c>
      <c r="H8" s="254">
        <f>C11+C12+C13</f>
        <v>275000</v>
      </c>
      <c r="I8" s="316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</row>
    <row r="9" spans="1:24" x14ac:dyDescent="0.25">
      <c r="A9" s="247"/>
      <c r="B9" s="253" t="s">
        <v>433</v>
      </c>
      <c r="C9" s="254">
        <v>25000</v>
      </c>
      <c r="D9" s="290" t="s">
        <v>434</v>
      </c>
      <c r="E9" s="317">
        <v>81000</v>
      </c>
      <c r="F9" s="247"/>
      <c r="G9" s="253" t="s">
        <v>435</v>
      </c>
      <c r="H9" s="318">
        <f>H6+H7-H8</f>
        <v>875000</v>
      </c>
      <c r="I9" s="316">
        <f>H9/H5</f>
        <v>0.41666666666666669</v>
      </c>
      <c r="J9" s="290"/>
      <c r="K9" s="290" t="str">
        <f>B17</f>
        <v>Maquinaria y equipo</v>
      </c>
      <c r="L9" s="319">
        <v>1000000</v>
      </c>
      <c r="M9" s="292">
        <v>0.1</v>
      </c>
      <c r="N9" s="320">
        <f>L9*M9</f>
        <v>100000</v>
      </c>
      <c r="O9" s="320">
        <v>100000</v>
      </c>
      <c r="P9" s="320">
        <v>100000</v>
      </c>
      <c r="Q9" s="320">
        <v>100000</v>
      </c>
      <c r="R9" s="320">
        <v>100000</v>
      </c>
      <c r="S9" s="320">
        <v>100000</v>
      </c>
      <c r="T9" s="320">
        <v>100000</v>
      </c>
      <c r="U9" s="320">
        <v>100000</v>
      </c>
      <c r="V9" s="320">
        <v>100000</v>
      </c>
      <c r="W9" s="320">
        <f>SUM(N9:V9)</f>
        <v>900000</v>
      </c>
      <c r="X9" s="290">
        <f>SUM(N9:U9)</f>
        <v>800000</v>
      </c>
    </row>
    <row r="10" spans="1:24" x14ac:dyDescent="0.25">
      <c r="A10" s="247"/>
      <c r="B10" s="253" t="s">
        <v>436</v>
      </c>
      <c r="C10" s="254">
        <v>16000</v>
      </c>
      <c r="D10" s="255" t="s">
        <v>437</v>
      </c>
      <c r="E10" s="254">
        <f>H18+H19</f>
        <v>148000</v>
      </c>
      <c r="F10" s="247"/>
      <c r="G10" s="253" t="s">
        <v>438</v>
      </c>
      <c r="H10" s="318">
        <f>H5-H9</f>
        <v>1225000</v>
      </c>
      <c r="I10" s="316"/>
      <c r="J10" s="290"/>
      <c r="K10" s="290" t="str">
        <f>B18</f>
        <v>Mobiliario y equipo de oficina</v>
      </c>
      <c r="L10" s="319">
        <v>200000</v>
      </c>
      <c r="M10" s="292">
        <v>0.1</v>
      </c>
      <c r="N10" s="320">
        <f>L10*M10</f>
        <v>20000</v>
      </c>
      <c r="O10" s="320">
        <v>20000</v>
      </c>
      <c r="P10" s="320">
        <v>20000</v>
      </c>
      <c r="Q10" s="320">
        <v>20000</v>
      </c>
      <c r="R10" s="320">
        <v>20000</v>
      </c>
      <c r="S10" s="320">
        <v>20000</v>
      </c>
      <c r="T10" s="320">
        <v>20000</v>
      </c>
      <c r="U10" s="320">
        <v>20000</v>
      </c>
      <c r="V10" s="320">
        <v>20000</v>
      </c>
      <c r="W10" s="320">
        <f>SUM(N10:V10)</f>
        <v>180000</v>
      </c>
      <c r="X10" s="290">
        <f>SUM(N10:U10)</f>
        <v>160000</v>
      </c>
    </row>
    <row r="11" spans="1:24" x14ac:dyDescent="0.25">
      <c r="A11" s="247"/>
      <c r="B11" s="253" t="s">
        <v>439</v>
      </c>
      <c r="C11" s="254">
        <v>140000</v>
      </c>
      <c r="D11" s="255" t="s">
        <v>440</v>
      </c>
      <c r="E11" s="254">
        <v>75000</v>
      </c>
      <c r="F11" s="247"/>
      <c r="G11" s="315"/>
      <c r="H11" s="254"/>
      <c r="I11" s="252"/>
      <c r="J11" s="290"/>
      <c r="K11" s="290" t="s">
        <v>441</v>
      </c>
      <c r="L11" s="321">
        <f>C16</f>
        <v>1050000</v>
      </c>
      <c r="M11" s="292">
        <v>0.05</v>
      </c>
      <c r="N11" s="322">
        <f>L11*M11</f>
        <v>52500</v>
      </c>
      <c r="O11" s="290">
        <v>52500</v>
      </c>
      <c r="P11" s="290">
        <v>52500</v>
      </c>
      <c r="Q11" s="290">
        <v>52500</v>
      </c>
      <c r="R11" s="290">
        <v>52500</v>
      </c>
      <c r="S11" s="290">
        <v>52500</v>
      </c>
      <c r="T11" s="290">
        <v>52500</v>
      </c>
      <c r="U11" s="290">
        <v>52500</v>
      </c>
      <c r="V11" s="290">
        <v>52500</v>
      </c>
      <c r="W11" s="323">
        <f>SUM(N11:V11)</f>
        <v>472500</v>
      </c>
      <c r="X11" s="290">
        <f>SUM(N11:U11)</f>
        <v>420000</v>
      </c>
    </row>
    <row r="12" spans="1:24" x14ac:dyDescent="0.25">
      <c r="A12" s="247"/>
      <c r="B12" s="253" t="s">
        <v>442</v>
      </c>
      <c r="C12" s="254">
        <v>115000</v>
      </c>
      <c r="D12" s="255" t="s">
        <v>443</v>
      </c>
      <c r="E12" s="254">
        <f>C17*5%</f>
        <v>50000</v>
      </c>
      <c r="F12" s="247"/>
      <c r="G12" s="253" t="s">
        <v>444</v>
      </c>
      <c r="H12" s="254">
        <v>390000</v>
      </c>
      <c r="I12" s="252"/>
      <c r="J12" s="290"/>
      <c r="K12" s="290" t="s">
        <v>445</v>
      </c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90"/>
    </row>
    <row r="13" spans="1:24" x14ac:dyDescent="0.25">
      <c r="A13" s="247"/>
      <c r="B13" s="253" t="s">
        <v>446</v>
      </c>
      <c r="C13" s="254">
        <v>20000</v>
      </c>
      <c r="D13" s="290" t="s">
        <v>447</v>
      </c>
      <c r="E13" s="254"/>
      <c r="F13" s="247"/>
      <c r="G13" s="253" t="s">
        <v>448</v>
      </c>
      <c r="H13" s="254">
        <v>400000</v>
      </c>
      <c r="I13" s="252"/>
      <c r="J13" s="290"/>
      <c r="K13" s="290" t="s">
        <v>449</v>
      </c>
      <c r="L13" s="319">
        <v>90000</v>
      </c>
      <c r="M13" s="292">
        <v>0.1</v>
      </c>
      <c r="N13" s="320">
        <f>L13*M13</f>
        <v>9000</v>
      </c>
      <c r="O13" s="320">
        <v>9000</v>
      </c>
      <c r="P13" s="320">
        <v>9000</v>
      </c>
      <c r="Q13" s="320">
        <v>9000</v>
      </c>
      <c r="R13" s="320">
        <v>9000</v>
      </c>
      <c r="S13" s="320">
        <v>9000</v>
      </c>
      <c r="T13" s="320">
        <v>9000</v>
      </c>
      <c r="U13" s="320">
        <v>9000</v>
      </c>
      <c r="V13" s="320">
        <v>9000</v>
      </c>
      <c r="W13" s="320">
        <f>SUM(N13:V13)</f>
        <v>81000</v>
      </c>
      <c r="X13" s="290">
        <f>SUM(N13:U13)</f>
        <v>72000</v>
      </c>
    </row>
    <row r="14" spans="1:24" x14ac:dyDescent="0.25">
      <c r="A14" s="247"/>
      <c r="B14" s="253" t="s">
        <v>450</v>
      </c>
      <c r="C14" s="254"/>
      <c r="D14" s="255" t="s">
        <v>451</v>
      </c>
      <c r="E14" s="254">
        <v>275000</v>
      </c>
      <c r="F14" s="247"/>
      <c r="G14" s="253" t="s">
        <v>452</v>
      </c>
      <c r="H14" s="254">
        <f>H10-(H13+H12)</f>
        <v>435000</v>
      </c>
      <c r="I14" s="252">
        <f>H14/H5</f>
        <v>0.20714285714285716</v>
      </c>
      <c r="J14" s="290"/>
      <c r="K14" s="290"/>
      <c r="L14" s="290"/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W14" s="290"/>
      <c r="X14" s="290"/>
    </row>
    <row r="15" spans="1:24" x14ac:dyDescent="0.25">
      <c r="A15" s="247"/>
      <c r="B15" s="253" t="s">
        <v>453</v>
      </c>
      <c r="C15" s="254">
        <v>1450000</v>
      </c>
      <c r="D15" s="290"/>
      <c r="E15" s="254"/>
      <c r="F15" s="247"/>
      <c r="G15" s="253" t="s">
        <v>454</v>
      </c>
      <c r="H15" s="254">
        <v>35000</v>
      </c>
      <c r="I15" s="252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</row>
    <row r="16" spans="1:24" x14ac:dyDescent="0.25">
      <c r="A16" s="247"/>
      <c r="B16" s="253" t="s">
        <v>441</v>
      </c>
      <c r="C16" s="254">
        <v>1050000</v>
      </c>
      <c r="D16" s="255" t="s">
        <v>455</v>
      </c>
      <c r="E16" s="324"/>
      <c r="F16" s="247"/>
      <c r="G16" s="253" t="s">
        <v>456</v>
      </c>
      <c r="H16" s="254">
        <f>H14-H15</f>
        <v>400000</v>
      </c>
      <c r="I16" s="252">
        <f>H16/H5</f>
        <v>0.19047619047619047</v>
      </c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</row>
    <row r="17" spans="1:15" x14ac:dyDescent="0.25">
      <c r="A17" s="247"/>
      <c r="B17" s="253" t="s">
        <v>457</v>
      </c>
      <c r="C17" s="254">
        <v>1000000</v>
      </c>
      <c r="D17" s="255" t="s">
        <v>458</v>
      </c>
      <c r="E17" s="254">
        <v>1330000</v>
      </c>
      <c r="F17" s="247"/>
      <c r="G17" s="315"/>
      <c r="H17" s="254"/>
      <c r="I17" s="252"/>
      <c r="J17" s="290"/>
      <c r="K17" s="290"/>
      <c r="L17" s="290"/>
      <c r="M17" s="290"/>
      <c r="N17" s="290"/>
      <c r="O17" s="290"/>
    </row>
    <row r="18" spans="1:15" x14ac:dyDescent="0.25">
      <c r="A18" s="247"/>
      <c r="B18" s="253" t="s">
        <v>459</v>
      </c>
      <c r="C18" s="254">
        <v>200000</v>
      </c>
      <c r="D18" s="290" t="s">
        <v>460</v>
      </c>
      <c r="E18" s="317">
        <f>E17*20%</f>
        <v>266000</v>
      </c>
      <c r="F18" s="247"/>
      <c r="G18" s="253" t="s">
        <v>461</v>
      </c>
      <c r="H18" s="254">
        <f>H16*10%</f>
        <v>40000</v>
      </c>
      <c r="I18" s="252"/>
      <c r="J18" s="290"/>
      <c r="K18" s="290"/>
      <c r="L18" s="290"/>
      <c r="M18" s="290"/>
      <c r="N18" s="290"/>
      <c r="O18" s="290"/>
    </row>
    <row r="19" spans="1:15" x14ac:dyDescent="0.25">
      <c r="A19" s="247"/>
      <c r="B19" s="253" t="s">
        <v>462</v>
      </c>
      <c r="C19" s="254">
        <f>X9+X10+X11</f>
        <v>1380000</v>
      </c>
      <c r="D19" s="255" t="s">
        <v>463</v>
      </c>
      <c r="E19" s="254">
        <v>350000</v>
      </c>
      <c r="F19" s="247"/>
      <c r="G19" s="253" t="s">
        <v>464</v>
      </c>
      <c r="H19" s="254">
        <f>(H16-H18)*30%</f>
        <v>108000</v>
      </c>
      <c r="I19" s="252"/>
      <c r="J19" s="290"/>
      <c r="K19" s="290"/>
      <c r="L19" s="290"/>
      <c r="M19" s="290"/>
      <c r="N19" s="290"/>
      <c r="O19" s="290"/>
    </row>
    <row r="20" spans="1:15" x14ac:dyDescent="0.25">
      <c r="A20" s="247"/>
      <c r="B20" s="290"/>
      <c r="C20" s="254"/>
      <c r="D20" s="255" t="s">
        <v>465</v>
      </c>
      <c r="E20" s="254">
        <v>150000</v>
      </c>
      <c r="F20" s="247"/>
      <c r="G20" s="315"/>
      <c r="H20" s="254"/>
      <c r="I20" s="252"/>
      <c r="J20" s="290"/>
      <c r="K20" s="290"/>
      <c r="L20" s="290"/>
      <c r="M20" s="290"/>
      <c r="N20" s="290"/>
      <c r="O20" s="290"/>
    </row>
    <row r="21" spans="1:15" x14ac:dyDescent="0.25">
      <c r="A21" s="247"/>
      <c r="B21" s="253" t="s">
        <v>466</v>
      </c>
      <c r="C21" s="254"/>
      <c r="D21" s="290" t="s">
        <v>467</v>
      </c>
      <c r="E21" s="325">
        <f>H21</f>
        <v>252000</v>
      </c>
      <c r="F21" s="247"/>
      <c r="G21" s="256" t="s">
        <v>468</v>
      </c>
      <c r="H21" s="257">
        <f>H16-(H18+H19)</f>
        <v>252000</v>
      </c>
      <c r="I21" s="258">
        <f>H21/H5</f>
        <v>0.12</v>
      </c>
      <c r="J21" s="290"/>
      <c r="K21" s="459" t="s">
        <v>469</v>
      </c>
      <c r="L21" s="459"/>
      <c r="M21" s="459"/>
      <c r="N21" s="459"/>
      <c r="O21" s="459"/>
    </row>
    <row r="22" spans="1:15" x14ac:dyDescent="0.25">
      <c r="A22" s="247"/>
      <c r="B22" s="253" t="s">
        <v>449</v>
      </c>
      <c r="C22" s="254">
        <f>L13</f>
        <v>90000</v>
      </c>
      <c r="D22" s="290"/>
      <c r="E22" s="324"/>
      <c r="F22" s="247"/>
      <c r="G22" s="259"/>
      <c r="H22" s="259"/>
      <c r="I22" s="255"/>
      <c r="J22" s="290"/>
      <c r="K22" s="459"/>
      <c r="L22" s="459"/>
      <c r="M22" s="459"/>
      <c r="N22" s="459"/>
      <c r="O22" s="459"/>
    </row>
    <row r="23" spans="1:15" x14ac:dyDescent="0.25">
      <c r="A23" s="247"/>
      <c r="B23" s="253" t="s">
        <v>470</v>
      </c>
      <c r="C23" s="317">
        <f>X13</f>
        <v>72000</v>
      </c>
      <c r="D23" s="290"/>
      <c r="E23" s="324"/>
      <c r="F23" s="247"/>
      <c r="G23" s="259"/>
      <c r="H23" s="259"/>
      <c r="I23" s="255"/>
      <c r="J23" s="290"/>
      <c r="K23" s="459"/>
      <c r="L23" s="459"/>
      <c r="M23" s="459"/>
      <c r="N23" s="459"/>
      <c r="O23" s="459"/>
    </row>
    <row r="24" spans="1:15" x14ac:dyDescent="0.25">
      <c r="A24" s="247"/>
      <c r="B24" s="290"/>
      <c r="C24" s="260"/>
      <c r="D24" s="255"/>
      <c r="E24" s="261"/>
      <c r="F24" s="247"/>
      <c r="G24" s="262"/>
      <c r="H24" s="259"/>
      <c r="I24" s="255"/>
      <c r="J24" s="290"/>
      <c r="K24" s="459"/>
      <c r="L24" s="459"/>
      <c r="M24" s="459"/>
      <c r="N24" s="459"/>
      <c r="O24" s="459"/>
    </row>
    <row r="25" spans="1:15" x14ac:dyDescent="0.25">
      <c r="A25" s="247"/>
      <c r="B25" s="253"/>
      <c r="C25" s="254"/>
      <c r="D25" s="247"/>
      <c r="E25" s="254"/>
      <c r="F25" s="247"/>
      <c r="G25" s="247"/>
      <c r="H25" s="247"/>
      <c r="I25" s="247"/>
      <c r="J25" s="290"/>
      <c r="K25" s="459"/>
      <c r="L25" s="459"/>
      <c r="M25" s="459"/>
      <c r="N25" s="459"/>
      <c r="O25" s="459"/>
    </row>
    <row r="26" spans="1:15" x14ac:dyDescent="0.25">
      <c r="A26" s="247"/>
      <c r="B26" s="263"/>
      <c r="C26" s="257">
        <f>SUM(C7:C18)+C22-C23-C19</f>
        <v>3171500</v>
      </c>
      <c r="D26" s="264" t="s">
        <v>236</v>
      </c>
      <c r="E26" s="257">
        <f>SUM(E5:E25)</f>
        <v>3171500</v>
      </c>
      <c r="F26" s="247"/>
      <c r="G26" s="247"/>
      <c r="H26" s="247"/>
      <c r="I26" s="247"/>
      <c r="J26" s="290"/>
      <c r="K26" s="459"/>
      <c r="L26" s="459"/>
      <c r="M26" s="459"/>
      <c r="N26" s="459"/>
      <c r="O26" s="459"/>
    </row>
    <row r="27" spans="1:15" x14ac:dyDescent="0.25">
      <c r="A27" s="247"/>
      <c r="B27" s="247" t="s">
        <v>471</v>
      </c>
      <c r="C27" s="247"/>
      <c r="D27" s="247"/>
      <c r="E27" s="247"/>
      <c r="F27" s="247"/>
      <c r="G27" s="247"/>
      <c r="H27" s="247"/>
      <c r="I27" s="247"/>
      <c r="J27" s="290"/>
      <c r="K27" s="459"/>
      <c r="L27" s="459"/>
      <c r="M27" s="459"/>
      <c r="N27" s="459"/>
      <c r="O27" s="459"/>
    </row>
    <row r="28" spans="1:15" x14ac:dyDescent="0.25">
      <c r="A28" s="247"/>
      <c r="B28" s="247"/>
      <c r="C28" s="247"/>
      <c r="D28" s="247"/>
      <c r="E28" s="247">
        <f>C26-E26</f>
        <v>0</v>
      </c>
      <c r="F28" s="247"/>
      <c r="G28" s="247"/>
      <c r="H28" s="247">
        <f>H36+H35</f>
        <v>1525000</v>
      </c>
      <c r="I28" s="247"/>
      <c r="J28" s="290"/>
      <c r="K28" s="459"/>
      <c r="L28" s="459"/>
      <c r="M28" s="459"/>
      <c r="N28" s="459"/>
      <c r="O28" s="459"/>
    </row>
    <row r="29" spans="1:15" x14ac:dyDescent="0.25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459"/>
      <c r="L29" s="459"/>
      <c r="M29" s="459"/>
      <c r="N29" s="459"/>
      <c r="O29" s="459"/>
    </row>
    <row r="30" spans="1:15" x14ac:dyDescent="0.25">
      <c r="A30" s="290"/>
      <c r="B30" s="290"/>
      <c r="C30" s="290"/>
      <c r="D30" s="290"/>
      <c r="E30" s="290"/>
      <c r="F30" s="290"/>
      <c r="G30" s="290"/>
      <c r="H30" s="290"/>
      <c r="I30" s="290"/>
      <c r="J30" s="290"/>
      <c r="K30" s="459"/>
      <c r="L30" s="459"/>
      <c r="M30" s="459"/>
      <c r="N30" s="459"/>
      <c r="O30" s="459"/>
    </row>
    <row r="31" spans="1:15" x14ac:dyDescent="0.25">
      <c r="A31" s="290"/>
      <c r="B31" s="463" t="s">
        <v>472</v>
      </c>
      <c r="C31" s="461"/>
      <c r="D31" s="461"/>
      <c r="E31" s="462"/>
      <c r="F31" s="247"/>
      <c r="G31" s="460" t="s">
        <v>412</v>
      </c>
      <c r="H31" s="462"/>
      <c r="I31" s="248" t="s">
        <v>473</v>
      </c>
      <c r="J31" s="290"/>
      <c r="K31" s="290"/>
      <c r="L31" s="290"/>
      <c r="M31" s="290"/>
      <c r="N31" s="290"/>
      <c r="O31" s="290"/>
    </row>
    <row r="32" spans="1:15" x14ac:dyDescent="0.25">
      <c r="A32" s="290"/>
      <c r="B32" s="265" t="s">
        <v>415</v>
      </c>
      <c r="C32" s="250"/>
      <c r="D32" s="255" t="s">
        <v>416</v>
      </c>
      <c r="E32" s="250"/>
      <c r="F32" s="247"/>
      <c r="G32" s="265" t="s">
        <v>417</v>
      </c>
      <c r="H32" s="250">
        <f>2150000</f>
        <v>2150000</v>
      </c>
      <c r="I32" s="261"/>
      <c r="J32" s="290"/>
      <c r="K32" s="290"/>
      <c r="L32" s="290"/>
      <c r="M32" s="290"/>
      <c r="N32" s="290"/>
      <c r="O32" s="290"/>
    </row>
    <row r="33" spans="2:15" x14ac:dyDescent="0.25">
      <c r="B33" s="265" t="s">
        <v>422</v>
      </c>
      <c r="C33" s="254"/>
      <c r="D33" s="255" t="s">
        <v>423</v>
      </c>
      <c r="E33" s="254"/>
      <c r="F33" s="247"/>
      <c r="G33" s="326" t="s">
        <v>424</v>
      </c>
      <c r="H33" s="254">
        <f>C11+C12+C13</f>
        <v>275000</v>
      </c>
      <c r="I33" s="261"/>
      <c r="J33" s="290"/>
      <c r="K33" s="290"/>
      <c r="L33" s="290"/>
      <c r="M33" s="290"/>
      <c r="N33" s="290"/>
      <c r="O33" s="290"/>
    </row>
    <row r="34" spans="2:15" x14ac:dyDescent="0.25">
      <c r="B34" s="265" t="s">
        <v>426</v>
      </c>
      <c r="C34" s="254">
        <f>3500+5000+5000</f>
        <v>13500</v>
      </c>
      <c r="D34" s="255" t="s">
        <v>427</v>
      </c>
      <c r="E34" s="254">
        <v>57000</v>
      </c>
      <c r="F34" s="247"/>
      <c r="G34" s="315" t="s">
        <v>428</v>
      </c>
      <c r="H34" s="254">
        <v>1250000</v>
      </c>
      <c r="I34" s="261"/>
      <c r="J34" s="290"/>
      <c r="K34" s="290"/>
      <c r="L34" s="290"/>
      <c r="M34" s="290"/>
      <c r="N34" s="290"/>
      <c r="O34" s="290"/>
    </row>
    <row r="35" spans="2:15" x14ac:dyDescent="0.25">
      <c r="B35" s="265" t="s">
        <v>430</v>
      </c>
      <c r="C35" s="254">
        <f>843500+15000+35800.06</f>
        <v>894300.06</v>
      </c>
      <c r="D35" s="255" t="s">
        <v>431</v>
      </c>
      <c r="E35" s="254">
        <v>110800</v>
      </c>
      <c r="F35" s="247"/>
      <c r="G35" s="253" t="s">
        <v>432</v>
      </c>
      <c r="H35" s="254">
        <f>C38+C39+C40</f>
        <v>340000</v>
      </c>
      <c r="I35" s="261"/>
      <c r="J35" s="290"/>
      <c r="K35" s="290"/>
      <c r="L35" s="290"/>
      <c r="M35" s="290"/>
      <c r="N35" s="290"/>
      <c r="O35" s="290"/>
    </row>
    <row r="36" spans="2:15" x14ac:dyDescent="0.25">
      <c r="B36" s="265" t="s">
        <v>433</v>
      </c>
      <c r="C36" s="254">
        <f>65000+250000</f>
        <v>315000</v>
      </c>
      <c r="D36" s="290" t="s">
        <v>434</v>
      </c>
      <c r="E36" s="317">
        <f>89200+20000</f>
        <v>109200</v>
      </c>
      <c r="F36" s="247"/>
      <c r="G36" s="253" t="s">
        <v>435</v>
      </c>
      <c r="H36" s="317">
        <f>(H33+H34)-H35</f>
        <v>1185000</v>
      </c>
      <c r="I36" s="316">
        <f>H36/H32</f>
        <v>0.55116279069767438</v>
      </c>
      <c r="J36" s="290"/>
      <c r="K36" s="290"/>
      <c r="L36" s="290"/>
      <c r="M36" s="290"/>
      <c r="N36" s="290"/>
      <c r="O36" s="290"/>
    </row>
    <row r="37" spans="2:15" x14ac:dyDescent="0.25">
      <c r="B37" s="265" t="s">
        <v>436</v>
      </c>
      <c r="C37" s="254">
        <f>35000+50000</f>
        <v>85000</v>
      </c>
      <c r="D37" s="255" t="s">
        <v>437</v>
      </c>
      <c r="E37" s="254">
        <f>H46+H47</f>
        <v>198319.88308</v>
      </c>
      <c r="F37" s="247"/>
      <c r="G37" s="253" t="s">
        <v>438</v>
      </c>
      <c r="H37" s="317">
        <f>H32-H36</f>
        <v>965000</v>
      </c>
      <c r="I37" s="316"/>
      <c r="J37" s="290"/>
      <c r="K37" s="459" t="s">
        <v>474</v>
      </c>
      <c r="L37" s="459"/>
      <c r="M37" s="459"/>
      <c r="N37" s="459"/>
      <c r="O37" s="459"/>
    </row>
    <row r="38" spans="2:15" x14ac:dyDescent="0.25">
      <c r="B38" s="265" t="s">
        <v>439</v>
      </c>
      <c r="C38" s="254">
        <f>150000</f>
        <v>150000</v>
      </c>
      <c r="D38" s="255" t="s">
        <v>440</v>
      </c>
      <c r="E38" s="254">
        <v>85500</v>
      </c>
      <c r="F38" s="247"/>
      <c r="G38" s="315"/>
      <c r="H38" s="254"/>
      <c r="I38" s="252"/>
      <c r="J38" s="290"/>
      <c r="K38" s="459"/>
      <c r="L38" s="459"/>
      <c r="M38" s="459"/>
      <c r="N38" s="459"/>
      <c r="O38" s="459"/>
    </row>
    <row r="39" spans="2:15" x14ac:dyDescent="0.25">
      <c r="B39" s="265" t="s">
        <v>442</v>
      </c>
      <c r="C39" s="254">
        <f>140000</f>
        <v>140000</v>
      </c>
      <c r="D39" s="255" t="s">
        <v>443</v>
      </c>
      <c r="E39" s="254">
        <f>C45*10%</f>
        <v>100000</v>
      </c>
      <c r="F39" s="247"/>
      <c r="G39" s="253" t="s">
        <v>444</v>
      </c>
      <c r="H39" s="254">
        <f>'M. DE CALCULO DE GASTOS FIJOS'!E13</f>
        <v>204600.84</v>
      </c>
      <c r="I39" s="252"/>
      <c r="J39" s="290"/>
      <c r="K39" s="459"/>
      <c r="L39" s="459"/>
      <c r="M39" s="459"/>
      <c r="N39" s="459"/>
      <c r="O39" s="459"/>
    </row>
    <row r="40" spans="2:15" x14ac:dyDescent="0.25">
      <c r="B40" s="265" t="s">
        <v>446</v>
      </c>
      <c r="C40" s="254">
        <f>50000</f>
        <v>50000</v>
      </c>
      <c r="D40" s="290"/>
      <c r="E40" s="254"/>
      <c r="F40" s="247"/>
      <c r="G40" s="253" t="s">
        <v>448</v>
      </c>
      <c r="H40" s="254">
        <f>'M. DE CALCULO DE GASTOS FIJOS'!E21</f>
        <v>199399.476</v>
      </c>
      <c r="I40" s="252"/>
      <c r="J40" s="290"/>
      <c r="K40" s="459"/>
      <c r="L40" s="459"/>
      <c r="M40" s="459"/>
      <c r="N40" s="459"/>
      <c r="O40" s="459"/>
    </row>
    <row r="41" spans="2:15" x14ac:dyDescent="0.25">
      <c r="B41" s="265"/>
      <c r="C41" s="254"/>
      <c r="D41" s="290"/>
      <c r="E41" s="254"/>
      <c r="F41" s="247"/>
      <c r="G41" s="253"/>
      <c r="H41" s="254"/>
      <c r="I41" s="252"/>
      <c r="J41" s="290"/>
      <c r="K41" s="459"/>
      <c r="L41" s="459"/>
      <c r="M41" s="459"/>
      <c r="N41" s="459"/>
      <c r="O41" s="459"/>
    </row>
    <row r="42" spans="2:15" x14ac:dyDescent="0.25">
      <c r="B42" s="265" t="s">
        <v>450</v>
      </c>
      <c r="C42" s="254"/>
      <c r="D42" s="255" t="s">
        <v>451</v>
      </c>
      <c r="E42" s="254">
        <v>423000</v>
      </c>
      <c r="F42" s="247"/>
      <c r="G42" s="253" t="s">
        <v>452</v>
      </c>
      <c r="H42" s="254">
        <f>H37-(H40+H39)</f>
        <v>560999.68400000001</v>
      </c>
      <c r="I42" s="252">
        <f>H42/H32</f>
        <v>0.26093008558139535</v>
      </c>
      <c r="J42" s="290"/>
      <c r="K42" s="459"/>
      <c r="L42" s="459"/>
      <c r="M42" s="459"/>
      <c r="N42" s="459"/>
      <c r="O42" s="459"/>
    </row>
    <row r="43" spans="2:15" x14ac:dyDescent="0.25">
      <c r="B43" s="265" t="s">
        <v>453</v>
      </c>
      <c r="C43" s="254">
        <v>1450000</v>
      </c>
      <c r="D43" s="290"/>
      <c r="E43" s="254"/>
      <c r="F43" s="247"/>
      <c r="G43" s="253" t="s">
        <v>454</v>
      </c>
      <c r="H43" s="254">
        <v>25000</v>
      </c>
      <c r="I43" s="252"/>
      <c r="J43" s="290"/>
      <c r="K43" s="459"/>
      <c r="L43" s="459"/>
      <c r="M43" s="459"/>
      <c r="N43" s="459"/>
      <c r="O43" s="459"/>
    </row>
    <row r="44" spans="2:15" x14ac:dyDescent="0.25">
      <c r="B44" s="265" t="s">
        <v>441</v>
      </c>
      <c r="C44" s="254">
        <v>1050000</v>
      </c>
      <c r="D44" s="255" t="s">
        <v>455</v>
      </c>
      <c r="E44" s="324"/>
      <c r="F44" s="247"/>
      <c r="G44" s="253" t="s">
        <v>456</v>
      </c>
      <c r="H44" s="254">
        <f>H42-H43</f>
        <v>535999.68400000001</v>
      </c>
      <c r="I44" s="252">
        <f>H44/H32</f>
        <v>0.24930217860465118</v>
      </c>
      <c r="J44" s="290"/>
      <c r="K44" s="459"/>
      <c r="L44" s="459"/>
      <c r="M44" s="459"/>
      <c r="N44" s="459"/>
      <c r="O44" s="459"/>
    </row>
    <row r="45" spans="2:15" x14ac:dyDescent="0.25">
      <c r="B45" s="265" t="s">
        <v>457</v>
      </c>
      <c r="C45" s="254">
        <v>1000000</v>
      </c>
      <c r="D45" s="255" t="s">
        <v>458</v>
      </c>
      <c r="E45" s="254">
        <f>1363333.33+204000.32</f>
        <v>1567333.6500000001</v>
      </c>
      <c r="F45" s="247"/>
      <c r="G45" s="315"/>
      <c r="H45" s="254"/>
      <c r="I45" s="252"/>
      <c r="J45" s="290"/>
      <c r="K45" s="459"/>
      <c r="L45" s="459"/>
      <c r="M45" s="459"/>
      <c r="N45" s="459"/>
      <c r="O45" s="459"/>
    </row>
    <row r="46" spans="2:15" x14ac:dyDescent="0.25">
      <c r="B46" s="265" t="s">
        <v>459</v>
      </c>
      <c r="C46" s="254">
        <v>200000</v>
      </c>
      <c r="D46" s="290" t="s">
        <v>460</v>
      </c>
      <c r="E46" s="317">
        <f>E45*20%</f>
        <v>313466.73000000004</v>
      </c>
      <c r="F46" s="247"/>
      <c r="G46" s="253" t="s">
        <v>461</v>
      </c>
      <c r="H46" s="254">
        <f>H44*10%</f>
        <v>53599.968400000005</v>
      </c>
      <c r="I46" s="252"/>
      <c r="J46" s="290"/>
      <c r="K46" s="459"/>
      <c r="L46" s="459"/>
      <c r="M46" s="459"/>
      <c r="N46" s="459"/>
      <c r="O46" s="459"/>
    </row>
    <row r="47" spans="2:15" x14ac:dyDescent="0.25">
      <c r="B47" s="290" t="s">
        <v>475</v>
      </c>
      <c r="C47" s="254">
        <f>W9+W10+W11</f>
        <v>1552500</v>
      </c>
      <c r="D47" s="255" t="s">
        <v>463</v>
      </c>
      <c r="E47" s="254">
        <f>H21</f>
        <v>252000</v>
      </c>
      <c r="F47" s="247"/>
      <c r="G47" s="253" t="s">
        <v>464</v>
      </c>
      <c r="H47" s="254">
        <f>(H44-H46)*30%</f>
        <v>144719.91467999999</v>
      </c>
      <c r="I47" s="252"/>
      <c r="J47" s="290"/>
      <c r="K47" s="459"/>
      <c r="L47" s="459"/>
      <c r="M47" s="459"/>
      <c r="N47" s="459"/>
      <c r="O47" s="459"/>
    </row>
    <row r="48" spans="2:15" x14ac:dyDescent="0.25">
      <c r="B48" s="265"/>
      <c r="C48" s="254"/>
      <c r="D48" s="255" t="s">
        <v>465</v>
      </c>
      <c r="E48" s="254">
        <v>250000</v>
      </c>
      <c r="F48" s="247"/>
      <c r="G48" s="315"/>
      <c r="H48" s="254"/>
      <c r="I48" s="252"/>
      <c r="J48" s="290"/>
      <c r="K48" s="290"/>
      <c r="L48" s="290"/>
      <c r="M48" s="290"/>
      <c r="N48" s="290"/>
      <c r="O48" s="290"/>
    </row>
    <row r="49" spans="2:17" x14ac:dyDescent="0.25">
      <c r="B49" s="265" t="s">
        <v>466</v>
      </c>
      <c r="C49" s="254"/>
      <c r="D49" s="290" t="s">
        <v>476</v>
      </c>
      <c r="E49" s="325">
        <f>H49</f>
        <v>337679.80092000001</v>
      </c>
      <c r="F49" s="247"/>
      <c r="G49" s="256" t="s">
        <v>468</v>
      </c>
      <c r="H49" s="257">
        <f>H44-H46-H47</f>
        <v>337679.80092000001</v>
      </c>
      <c r="I49" s="258">
        <f>H49/H32</f>
        <v>0.15706037252093025</v>
      </c>
      <c r="J49" s="290"/>
      <c r="K49" s="290"/>
      <c r="L49" s="290"/>
      <c r="M49" s="290"/>
      <c r="N49" s="290"/>
      <c r="O49" s="290"/>
      <c r="P49" s="290"/>
      <c r="Q49" s="290"/>
    </row>
    <row r="50" spans="2:17" x14ac:dyDescent="0.25">
      <c r="B50" s="265" t="s">
        <v>449</v>
      </c>
      <c r="C50" s="254">
        <f>L13</f>
        <v>90000</v>
      </c>
      <c r="D50" s="290"/>
      <c r="E50" s="324"/>
      <c r="F50" s="247"/>
      <c r="G50" s="247"/>
      <c r="H50" s="247"/>
      <c r="I50" s="255"/>
      <c r="J50" s="290"/>
      <c r="K50" s="290"/>
      <c r="L50" s="290"/>
      <c r="M50" s="290"/>
      <c r="N50" s="290"/>
      <c r="O50" s="290"/>
      <c r="P50" s="290"/>
      <c r="Q50" s="290"/>
    </row>
    <row r="51" spans="2:17" x14ac:dyDescent="0.25">
      <c r="B51" s="265" t="s">
        <v>470</v>
      </c>
      <c r="C51" s="317">
        <f>W13</f>
        <v>81000</v>
      </c>
      <c r="D51" s="290"/>
      <c r="E51" s="324"/>
      <c r="F51" s="247"/>
      <c r="G51" s="247"/>
      <c r="H51" s="247"/>
      <c r="I51" s="255"/>
      <c r="J51" s="290"/>
      <c r="K51" s="266" t="s">
        <v>33</v>
      </c>
      <c r="L51" s="327">
        <f>SUM(C34:C40)-SUM(E34:E39)</f>
        <v>986980.17692</v>
      </c>
      <c r="M51" s="290"/>
      <c r="N51" s="290"/>
      <c r="O51" s="290"/>
      <c r="P51" s="290"/>
      <c r="Q51" s="290"/>
    </row>
    <row r="52" spans="2:17" x14ac:dyDescent="0.25">
      <c r="B52" s="290"/>
      <c r="C52" s="254"/>
      <c r="D52" s="255"/>
      <c r="E52" s="254"/>
      <c r="F52" s="247"/>
      <c r="G52" s="290"/>
      <c r="H52" s="247"/>
      <c r="I52" s="255"/>
      <c r="J52" s="290"/>
      <c r="K52" s="266" t="s">
        <v>477</v>
      </c>
      <c r="L52" s="290">
        <f>SUM(C34:C40)/SUM(E34:E39)</f>
        <v>2.4935691285797983</v>
      </c>
      <c r="M52" s="290"/>
      <c r="N52" s="266" t="s">
        <v>478</v>
      </c>
      <c r="O52" s="290" t="s">
        <v>479</v>
      </c>
      <c r="P52" s="410">
        <f>L52-2</f>
        <v>0.49356912857979829</v>
      </c>
      <c r="Q52" s="267" t="s">
        <v>480</v>
      </c>
    </row>
    <row r="53" spans="2:17" x14ac:dyDescent="0.25">
      <c r="B53" s="290"/>
      <c r="C53" s="254"/>
      <c r="D53" s="247"/>
      <c r="E53" s="254"/>
      <c r="F53" s="247"/>
      <c r="G53" s="247"/>
      <c r="H53" s="247"/>
      <c r="I53" s="247"/>
      <c r="J53" s="290"/>
      <c r="K53" s="266" t="s">
        <v>481</v>
      </c>
      <c r="L53" s="290">
        <f>(E62-E61)/E63</f>
        <v>1.9790567649152824</v>
      </c>
      <c r="M53" s="290"/>
      <c r="N53" s="266" t="s">
        <v>482</v>
      </c>
      <c r="O53" s="290" t="s">
        <v>483</v>
      </c>
      <c r="P53" s="410">
        <f>L53-1.5</f>
        <v>0.47905676491528237</v>
      </c>
      <c r="Q53" s="267" t="s">
        <v>480</v>
      </c>
    </row>
    <row r="54" spans="2:17" x14ac:dyDescent="0.25">
      <c r="B54" s="268" t="s">
        <v>236</v>
      </c>
      <c r="C54" s="257">
        <f>SUM(C34:C46)+C50-C47-C51</f>
        <v>3804300.0600000005</v>
      </c>
      <c r="D54" s="264" t="s">
        <v>236</v>
      </c>
      <c r="E54" s="257">
        <f>SUM(E32:E53)</f>
        <v>3804300.0640000002</v>
      </c>
      <c r="F54" s="247"/>
      <c r="G54" s="247"/>
      <c r="H54" s="247"/>
      <c r="I54" s="247"/>
      <c r="J54" s="290"/>
      <c r="K54" s="266" t="s">
        <v>484</v>
      </c>
      <c r="L54" s="269">
        <f>H49/H32</f>
        <v>0.15706037252093025</v>
      </c>
      <c r="M54" s="290"/>
      <c r="N54" s="290"/>
      <c r="O54" s="290"/>
      <c r="P54" s="290"/>
      <c r="Q54" s="290"/>
    </row>
    <row r="55" spans="2:17" x14ac:dyDescent="0.25">
      <c r="E55" s="409">
        <f>E54-C54</f>
        <v>3.9999997243285179E-3</v>
      </c>
    </row>
    <row r="56" spans="2:17" x14ac:dyDescent="0.25">
      <c r="B56" s="290"/>
      <c r="C56" s="290"/>
      <c r="D56" s="290"/>
      <c r="E56" s="290"/>
      <c r="F56" s="290"/>
      <c r="G56" s="290"/>
      <c r="H56" s="328">
        <f>H36+H39+H40+H35</f>
        <v>1929000.3160000001</v>
      </c>
      <c r="I56" s="290"/>
      <c r="J56" s="290"/>
      <c r="K56" s="290"/>
      <c r="L56" s="290"/>
      <c r="M56" s="290"/>
      <c r="N56" s="290"/>
      <c r="O56" s="290"/>
      <c r="P56" s="290"/>
      <c r="Q56" s="290"/>
    </row>
    <row r="57" spans="2:17" x14ac:dyDescent="0.25">
      <c r="B57" s="290"/>
      <c r="C57" s="290"/>
      <c r="D57" s="290"/>
      <c r="E57" s="322">
        <f>C54-E54</f>
        <v>-3.9999997243285179E-3</v>
      </c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0"/>
    </row>
    <row r="61" spans="2:17" x14ac:dyDescent="0.25">
      <c r="B61" s="290"/>
      <c r="C61" s="290"/>
      <c r="D61" s="290" t="s">
        <v>485</v>
      </c>
      <c r="E61" s="321">
        <f>C38+C39+C40</f>
        <v>340000</v>
      </c>
      <c r="F61" s="290"/>
      <c r="G61" s="290"/>
      <c r="H61" s="290"/>
      <c r="I61" s="290"/>
      <c r="J61" s="290"/>
      <c r="K61" s="290"/>
      <c r="L61" s="290"/>
      <c r="M61" s="290"/>
      <c r="N61" s="290"/>
      <c r="O61" s="290"/>
      <c r="P61" s="290"/>
      <c r="Q61" s="290"/>
    </row>
    <row r="62" spans="2:17" x14ac:dyDescent="0.25">
      <c r="B62" s="290"/>
      <c r="C62" s="290"/>
      <c r="D62" s="290" t="s">
        <v>486</v>
      </c>
      <c r="E62" s="321">
        <f>SUM(C34:C40)</f>
        <v>1647800.06</v>
      </c>
      <c r="F62" s="290"/>
      <c r="G62" s="290"/>
      <c r="H62" s="290"/>
      <c r="I62" s="290"/>
      <c r="J62" s="290"/>
      <c r="K62" s="290"/>
      <c r="L62" s="290"/>
      <c r="M62" s="290"/>
      <c r="N62" s="290"/>
      <c r="O62" s="290"/>
      <c r="P62" s="290"/>
      <c r="Q62" s="290"/>
    </row>
    <row r="63" spans="2:17" x14ac:dyDescent="0.25">
      <c r="B63" s="290"/>
      <c r="C63" s="290"/>
      <c r="D63" s="290" t="s">
        <v>487</v>
      </c>
      <c r="E63" s="321">
        <f>SUM(E33:E39)</f>
        <v>660819.88308000006</v>
      </c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</row>
  </sheetData>
  <mergeCells count="6">
    <mergeCell ref="K37:O47"/>
    <mergeCell ref="B4:E4"/>
    <mergeCell ref="G4:H4"/>
    <mergeCell ref="K21:O30"/>
    <mergeCell ref="B31:E31"/>
    <mergeCell ref="G31:H3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AF554-0C78-4F3D-8624-EF3C7D7B54D8}">
  <dimension ref="A2:U101"/>
  <sheetViews>
    <sheetView topLeftCell="A12" workbookViewId="0"/>
    <sheetView workbookViewId="1"/>
  </sheetViews>
  <sheetFormatPr baseColWidth="10" defaultColWidth="9.140625" defaultRowHeight="15" x14ac:dyDescent="0.25"/>
  <cols>
    <col min="1" max="1" width="45.85546875" style="223" bestFit="1" customWidth="1"/>
    <col min="2" max="2" width="11.42578125" style="223" bestFit="1" customWidth="1"/>
    <col min="3" max="3" width="18.85546875" style="223" bestFit="1" customWidth="1"/>
    <col min="4" max="4" width="14.42578125" style="223" bestFit="1" customWidth="1"/>
    <col min="5" max="5" width="19" style="223" bestFit="1" customWidth="1"/>
    <col min="6" max="6" width="17" style="223" bestFit="1" customWidth="1"/>
    <col min="7" max="7" width="15.42578125" style="223" bestFit="1" customWidth="1"/>
    <col min="8" max="8" width="11.42578125" style="223" bestFit="1" customWidth="1"/>
    <col min="9" max="9" width="16.5703125" style="223" bestFit="1" customWidth="1"/>
    <col min="10" max="10" width="19.85546875" style="223" bestFit="1" customWidth="1"/>
    <col min="11" max="11" width="17.85546875" style="223" bestFit="1" customWidth="1"/>
    <col min="12" max="12" width="27.28515625" style="223" customWidth="1"/>
    <col min="13" max="13" width="20.7109375" style="223" bestFit="1" customWidth="1"/>
    <col min="14" max="14" width="16.42578125" style="223" bestFit="1" customWidth="1"/>
    <col min="15" max="15" width="24.28515625" style="223" bestFit="1" customWidth="1"/>
    <col min="16" max="16" width="29.140625" style="223" bestFit="1" customWidth="1"/>
    <col min="17" max="17" width="15.42578125" style="223" bestFit="1" customWidth="1"/>
    <col min="18" max="18" width="40.28515625" style="223" bestFit="1" customWidth="1"/>
    <col min="19" max="19" width="23.28515625" style="223" customWidth="1"/>
    <col min="20" max="20" width="46.140625" style="223" customWidth="1"/>
    <col min="21" max="21" width="23.85546875" style="223" customWidth="1"/>
    <col min="22" max="16384" width="9.140625" style="223"/>
  </cols>
  <sheetData>
    <row r="2" spans="1:16" ht="23.25" x14ac:dyDescent="0.35">
      <c r="A2" s="224" t="s">
        <v>328</v>
      </c>
      <c r="B2" s="225"/>
      <c r="C2" s="225"/>
      <c r="D2" s="225"/>
      <c r="E2" s="225"/>
      <c r="F2" s="225"/>
      <c r="G2" s="225" t="s">
        <v>329</v>
      </c>
      <c r="H2" s="225"/>
      <c r="I2" s="225"/>
      <c r="J2" s="225"/>
      <c r="K2" s="225"/>
      <c r="L2" s="225" t="s">
        <v>330</v>
      </c>
      <c r="M2" s="225"/>
      <c r="N2" s="225"/>
      <c r="O2" s="289"/>
      <c r="P2" s="289"/>
    </row>
    <row r="3" spans="1:16" ht="18.75" x14ac:dyDescent="0.3">
      <c r="A3" s="225" t="str">
        <f>A27</f>
        <v>Puesto</v>
      </c>
      <c r="B3" s="225" t="str">
        <f t="shared" ref="B3:K3" si="0">B27</f>
        <v>Nivel</v>
      </c>
      <c r="C3" s="225" t="str">
        <f t="shared" si="0"/>
        <v>Fecha de ingreso</v>
      </c>
      <c r="D3" s="225" t="str">
        <f t="shared" si="0"/>
        <v>Antigüedad</v>
      </c>
      <c r="E3" s="225" t="str">
        <f t="shared" si="0"/>
        <v>Salario Base</v>
      </c>
      <c r="F3" s="225" t="str">
        <f t="shared" si="0"/>
        <v>Salario Quincenal</v>
      </c>
      <c r="G3" s="225" t="str">
        <f t="shared" si="0"/>
        <v>Aguinaldo</v>
      </c>
      <c r="H3" s="225" t="str">
        <f t="shared" si="0"/>
        <v>Vacaciones</v>
      </c>
      <c r="I3" s="225" t="str">
        <f t="shared" si="0"/>
        <v>Prima vacacional</v>
      </c>
      <c r="J3" s="225" t="str">
        <f t="shared" si="0"/>
        <v>Factor de integración</v>
      </c>
      <c r="K3" s="225" t="str">
        <f t="shared" si="0"/>
        <v>SBC</v>
      </c>
      <c r="L3" s="225" t="s">
        <v>331</v>
      </c>
      <c r="M3" s="225" t="s">
        <v>332</v>
      </c>
      <c r="N3" s="225" t="s">
        <v>333</v>
      </c>
      <c r="O3" s="225" t="s">
        <v>334</v>
      </c>
      <c r="P3" s="225" t="s">
        <v>335</v>
      </c>
    </row>
    <row r="4" spans="1:16" ht="18.75" x14ac:dyDescent="0.3">
      <c r="A4" s="225" t="str">
        <f t="shared" ref="A4:K4" si="1">A28</f>
        <v>Gerente general</v>
      </c>
      <c r="B4" s="226">
        <f t="shared" si="1"/>
        <v>1</v>
      </c>
      <c r="C4" s="227">
        <f t="shared" si="1"/>
        <v>43160</v>
      </c>
      <c r="D4" s="226">
        <f t="shared" si="1"/>
        <v>6</v>
      </c>
      <c r="E4" s="228">
        <f t="shared" si="1"/>
        <v>550</v>
      </c>
      <c r="F4" s="228">
        <f t="shared" si="1"/>
        <v>8364.5650000000005</v>
      </c>
      <c r="G4" s="226">
        <f t="shared" si="1"/>
        <v>15</v>
      </c>
      <c r="H4" s="226">
        <f t="shared" si="1"/>
        <v>20</v>
      </c>
      <c r="I4" s="229">
        <f t="shared" si="1"/>
        <v>0.25</v>
      </c>
      <c r="J4" s="226">
        <f t="shared" si="1"/>
        <v>1.0547945205479452</v>
      </c>
      <c r="K4" s="228">
        <f t="shared" si="1"/>
        <v>580.13698630136992</v>
      </c>
      <c r="L4" s="228">
        <f t="shared" ref="L4:L18" si="2">M87</f>
        <v>963.60910800000011</v>
      </c>
      <c r="M4" s="228">
        <f t="shared" ref="M4:M18" si="3">L68</f>
        <v>225.02141930128766</v>
      </c>
      <c r="N4" s="228">
        <f t="shared" ref="N4:N18" si="4">F4-L4-M4</f>
        <v>7175.9344726987119</v>
      </c>
      <c r="O4" s="228">
        <f t="shared" ref="O4:O19" si="5">N4*2</f>
        <v>14351.868945397424</v>
      </c>
      <c r="P4" s="228">
        <f t="shared" ref="P4:P19" si="6">O4*12</f>
        <v>172222.42734476909</v>
      </c>
    </row>
    <row r="5" spans="1:16" ht="18.75" x14ac:dyDescent="0.3">
      <c r="A5" s="225" t="str">
        <f t="shared" ref="A5:K5" si="7">A29</f>
        <v>Gerente de restaurante</v>
      </c>
      <c r="B5" s="226">
        <f t="shared" si="7"/>
        <v>2</v>
      </c>
      <c r="C5" s="227">
        <f t="shared" si="7"/>
        <v>44274</v>
      </c>
      <c r="D5" s="226">
        <f t="shared" si="7"/>
        <v>3</v>
      </c>
      <c r="E5" s="228">
        <f t="shared" si="7"/>
        <v>500</v>
      </c>
      <c r="F5" s="228">
        <f t="shared" si="7"/>
        <v>7604.15</v>
      </c>
      <c r="G5" s="226">
        <f t="shared" si="7"/>
        <v>15</v>
      </c>
      <c r="H5" s="226">
        <f t="shared" si="7"/>
        <v>16</v>
      </c>
      <c r="I5" s="229">
        <f t="shared" si="7"/>
        <v>0.25</v>
      </c>
      <c r="J5" s="226">
        <f t="shared" si="7"/>
        <v>1.0520547945205478</v>
      </c>
      <c r="K5" s="228">
        <f t="shared" si="7"/>
        <v>526.02739726027391</v>
      </c>
      <c r="L5" s="228">
        <f t="shared" si="2"/>
        <v>801.18446399999993</v>
      </c>
      <c r="M5" s="228">
        <f t="shared" si="3"/>
        <v>202.1855318526575</v>
      </c>
      <c r="N5" s="228">
        <f t="shared" si="4"/>
        <v>6600.780004147342</v>
      </c>
      <c r="O5" s="228">
        <f t="shared" si="5"/>
        <v>13201.560008294684</v>
      </c>
      <c r="P5" s="228">
        <f t="shared" si="6"/>
        <v>158418.72009953621</v>
      </c>
    </row>
    <row r="6" spans="1:16" ht="18.75" x14ac:dyDescent="0.3">
      <c r="A6" s="225" t="str">
        <f t="shared" ref="A6:K6" si="8">A30</f>
        <v>Gerente de producción</v>
      </c>
      <c r="B6" s="226">
        <f t="shared" si="8"/>
        <v>2</v>
      </c>
      <c r="C6" s="227">
        <f t="shared" si="8"/>
        <v>44862</v>
      </c>
      <c r="D6" s="226">
        <f t="shared" si="8"/>
        <v>2</v>
      </c>
      <c r="E6" s="228">
        <f t="shared" si="8"/>
        <v>520</v>
      </c>
      <c r="F6" s="228">
        <f t="shared" si="8"/>
        <v>7908.3159999999998</v>
      </c>
      <c r="G6" s="226">
        <f t="shared" si="8"/>
        <v>15</v>
      </c>
      <c r="H6" s="226">
        <f t="shared" si="8"/>
        <v>14</v>
      </c>
      <c r="I6" s="229">
        <f t="shared" si="8"/>
        <v>0.25</v>
      </c>
      <c r="J6" s="226">
        <f t="shared" si="8"/>
        <v>1.0506849315068494</v>
      </c>
      <c r="K6" s="228">
        <f t="shared" si="8"/>
        <v>546.35616438356169</v>
      </c>
      <c r="L6" s="228">
        <f t="shared" si="2"/>
        <v>866.1543216</v>
      </c>
      <c r="M6" s="228">
        <f t="shared" si="3"/>
        <v>210.76488804854793</v>
      </c>
      <c r="N6" s="228">
        <f t="shared" si="4"/>
        <v>6831.3967903514522</v>
      </c>
      <c r="O6" s="228">
        <f t="shared" si="5"/>
        <v>13662.793580702904</v>
      </c>
      <c r="P6" s="228">
        <f t="shared" si="6"/>
        <v>163953.52296843485</v>
      </c>
    </row>
    <row r="7" spans="1:16" ht="18.75" x14ac:dyDescent="0.3">
      <c r="A7" s="225" t="str">
        <f t="shared" ref="A7:K7" si="9">A31</f>
        <v>Gerente de ventas</v>
      </c>
      <c r="B7" s="226">
        <f t="shared" si="9"/>
        <v>2</v>
      </c>
      <c r="C7" s="227">
        <f t="shared" si="9"/>
        <v>45260</v>
      </c>
      <c r="D7" s="226">
        <f t="shared" si="9"/>
        <v>1</v>
      </c>
      <c r="E7" s="228">
        <f t="shared" si="9"/>
        <v>520</v>
      </c>
      <c r="F7" s="228">
        <f t="shared" si="9"/>
        <v>7908.3159999999998</v>
      </c>
      <c r="G7" s="226">
        <f t="shared" si="9"/>
        <v>15</v>
      </c>
      <c r="H7" s="226">
        <f t="shared" si="9"/>
        <v>12</v>
      </c>
      <c r="I7" s="229">
        <f t="shared" si="9"/>
        <v>0.25</v>
      </c>
      <c r="J7" s="226">
        <f t="shared" si="9"/>
        <v>1.0493150684931507</v>
      </c>
      <c r="K7" s="228">
        <f t="shared" si="9"/>
        <v>545.64383561643831</v>
      </c>
      <c r="L7" s="228">
        <f t="shared" si="2"/>
        <v>866.1543216</v>
      </c>
      <c r="M7" s="228">
        <f t="shared" si="3"/>
        <v>210.46426370745203</v>
      </c>
      <c r="N7" s="228">
        <f t="shared" si="4"/>
        <v>6831.6974146925477</v>
      </c>
      <c r="O7" s="228">
        <f t="shared" si="5"/>
        <v>13663.394829385095</v>
      </c>
      <c r="P7" s="228">
        <f t="shared" si="6"/>
        <v>163960.73795262113</v>
      </c>
    </row>
    <row r="8" spans="1:16" ht="18.75" x14ac:dyDescent="0.3">
      <c r="A8" s="225" t="str">
        <f t="shared" ref="A8:K8" si="10">A32</f>
        <v>Gerente de finanzas</v>
      </c>
      <c r="B8" s="226">
        <f t="shared" si="10"/>
        <v>2</v>
      </c>
      <c r="C8" s="227">
        <f t="shared" si="10"/>
        <v>45061</v>
      </c>
      <c r="D8" s="226">
        <f t="shared" si="10"/>
        <v>1</v>
      </c>
      <c r="E8" s="228">
        <f t="shared" si="10"/>
        <v>400</v>
      </c>
      <c r="F8" s="228">
        <f t="shared" si="10"/>
        <v>6083.32</v>
      </c>
      <c r="G8" s="226">
        <f t="shared" si="10"/>
        <v>15</v>
      </c>
      <c r="H8" s="226">
        <f t="shared" si="10"/>
        <v>12</v>
      </c>
      <c r="I8" s="229">
        <f t="shared" si="10"/>
        <v>0.25</v>
      </c>
      <c r="J8" s="226">
        <f t="shared" si="10"/>
        <v>1.0493150684931507</v>
      </c>
      <c r="K8" s="228">
        <f t="shared" si="10"/>
        <v>419.72602739726028</v>
      </c>
      <c r="L8" s="228">
        <f t="shared" si="2"/>
        <v>535.80959999999993</v>
      </c>
      <c r="M8" s="228">
        <f t="shared" si="3"/>
        <v>157.32313018142463</v>
      </c>
      <c r="N8" s="228">
        <f t="shared" si="4"/>
        <v>5390.1872698185753</v>
      </c>
      <c r="O8" s="228">
        <f t="shared" si="5"/>
        <v>10780.374539637151</v>
      </c>
      <c r="P8" s="228">
        <f t="shared" si="6"/>
        <v>129364.4944756458</v>
      </c>
    </row>
    <row r="9" spans="1:16" ht="18.75" x14ac:dyDescent="0.3">
      <c r="A9" s="225" t="str">
        <f t="shared" ref="A9:K9" si="11">A33</f>
        <v>Encargado de mantenimiento</v>
      </c>
      <c r="B9" s="226">
        <f t="shared" si="11"/>
        <v>3</v>
      </c>
      <c r="C9" s="227">
        <f t="shared" si="11"/>
        <v>44315</v>
      </c>
      <c r="D9" s="226">
        <f t="shared" si="11"/>
        <v>3</v>
      </c>
      <c r="E9" s="228">
        <f t="shared" si="11"/>
        <v>380</v>
      </c>
      <c r="F9" s="228">
        <f t="shared" si="11"/>
        <v>5779.1539999999995</v>
      </c>
      <c r="G9" s="226">
        <f t="shared" si="11"/>
        <v>15</v>
      </c>
      <c r="H9" s="226">
        <f t="shared" si="11"/>
        <v>16</v>
      </c>
      <c r="I9" s="229">
        <f t="shared" si="11"/>
        <v>0.25</v>
      </c>
      <c r="J9" s="226">
        <f t="shared" si="11"/>
        <v>1.0520547945205478</v>
      </c>
      <c r="K9" s="228">
        <f t="shared" si="11"/>
        <v>399.78082191780817</v>
      </c>
      <c r="L9" s="228">
        <f t="shared" si="2"/>
        <v>487.14303999999987</v>
      </c>
      <c r="M9" s="228">
        <f t="shared" si="3"/>
        <v>148.90564863073973</v>
      </c>
      <c r="N9" s="228">
        <f t="shared" si="4"/>
        <v>5143.1053113692597</v>
      </c>
      <c r="O9" s="228">
        <f t="shared" si="5"/>
        <v>10286.210622738519</v>
      </c>
      <c r="P9" s="228">
        <f t="shared" si="6"/>
        <v>123434.52747286223</v>
      </c>
    </row>
    <row r="10" spans="1:16" ht="18.75" x14ac:dyDescent="0.3">
      <c r="A10" s="225" t="str">
        <f t="shared" ref="A10:K10" si="12">A34</f>
        <v>Encargado de almacen</v>
      </c>
      <c r="B10" s="226">
        <f t="shared" si="12"/>
        <v>3</v>
      </c>
      <c r="C10" s="227">
        <f t="shared" si="12"/>
        <v>44239</v>
      </c>
      <c r="D10" s="226">
        <f t="shared" si="12"/>
        <v>3</v>
      </c>
      <c r="E10" s="228">
        <f t="shared" si="12"/>
        <v>380</v>
      </c>
      <c r="F10" s="228">
        <f t="shared" si="12"/>
        <v>5779.1539999999995</v>
      </c>
      <c r="G10" s="226">
        <f t="shared" si="12"/>
        <v>15</v>
      </c>
      <c r="H10" s="226">
        <f t="shared" si="12"/>
        <v>16</v>
      </c>
      <c r="I10" s="229">
        <f t="shared" si="12"/>
        <v>0.25</v>
      </c>
      <c r="J10" s="226">
        <f t="shared" si="12"/>
        <v>1.0520547945205478</v>
      </c>
      <c r="K10" s="228">
        <f t="shared" si="12"/>
        <v>399.78082191780817</v>
      </c>
      <c r="L10" s="228">
        <f t="shared" si="2"/>
        <v>487.14303999999987</v>
      </c>
      <c r="M10" s="228">
        <f t="shared" si="3"/>
        <v>148.90564863073973</v>
      </c>
      <c r="N10" s="228">
        <f t="shared" si="4"/>
        <v>5143.1053113692597</v>
      </c>
      <c r="O10" s="228">
        <f t="shared" si="5"/>
        <v>10286.210622738519</v>
      </c>
      <c r="P10" s="228">
        <f t="shared" si="6"/>
        <v>123434.52747286223</v>
      </c>
    </row>
    <row r="11" spans="1:16" ht="18.75" x14ac:dyDescent="0.3">
      <c r="A11" s="225" t="str">
        <f t="shared" ref="A11:K11" si="13">A35</f>
        <v>Jefe de cocina</v>
      </c>
      <c r="B11" s="226">
        <f t="shared" si="13"/>
        <v>3</v>
      </c>
      <c r="C11" s="227">
        <f t="shared" si="13"/>
        <v>44247</v>
      </c>
      <c r="D11" s="226">
        <f t="shared" si="13"/>
        <v>3</v>
      </c>
      <c r="E11" s="228">
        <f t="shared" si="13"/>
        <v>380</v>
      </c>
      <c r="F11" s="228">
        <f t="shared" si="13"/>
        <v>5779.1539999999995</v>
      </c>
      <c r="G11" s="226">
        <f t="shared" si="13"/>
        <v>15</v>
      </c>
      <c r="H11" s="226">
        <f t="shared" si="13"/>
        <v>16</v>
      </c>
      <c r="I11" s="229">
        <f t="shared" si="13"/>
        <v>0.25</v>
      </c>
      <c r="J11" s="226">
        <f t="shared" si="13"/>
        <v>1.0520547945205478</v>
      </c>
      <c r="K11" s="228">
        <f t="shared" si="13"/>
        <v>399.78082191780817</v>
      </c>
      <c r="L11" s="228">
        <f t="shared" si="2"/>
        <v>487.14303999999987</v>
      </c>
      <c r="M11" s="228">
        <f t="shared" si="3"/>
        <v>148.90564863073973</v>
      </c>
      <c r="N11" s="228">
        <f t="shared" si="4"/>
        <v>5143.1053113692597</v>
      </c>
      <c r="O11" s="228">
        <f t="shared" si="5"/>
        <v>10286.210622738519</v>
      </c>
      <c r="P11" s="228">
        <f t="shared" si="6"/>
        <v>123434.52747286223</v>
      </c>
    </row>
    <row r="12" spans="1:16" ht="18.75" x14ac:dyDescent="0.3">
      <c r="A12" s="225" t="str">
        <f t="shared" ref="A12:K12" si="14">A36</f>
        <v>Relaciones públicas</v>
      </c>
      <c r="B12" s="226">
        <f t="shared" si="14"/>
        <v>3</v>
      </c>
      <c r="C12" s="227">
        <f t="shared" si="14"/>
        <v>43855</v>
      </c>
      <c r="D12" s="226">
        <f t="shared" si="14"/>
        <v>4</v>
      </c>
      <c r="E12" s="228">
        <f t="shared" si="14"/>
        <v>376.66666666666669</v>
      </c>
      <c r="F12" s="228">
        <f t="shared" si="14"/>
        <v>5728.4596666666666</v>
      </c>
      <c r="G12" s="226">
        <f t="shared" si="14"/>
        <v>15</v>
      </c>
      <c r="H12" s="226">
        <f t="shared" si="14"/>
        <v>18</v>
      </c>
      <c r="I12" s="229">
        <f t="shared" si="14"/>
        <v>0.25</v>
      </c>
      <c r="J12" s="226">
        <f t="shared" si="14"/>
        <v>1.0534246575342465</v>
      </c>
      <c r="K12" s="228">
        <f t="shared" si="14"/>
        <v>396.78995433789953</v>
      </c>
      <c r="L12" s="228">
        <f t="shared" si="2"/>
        <v>479.03194666666661</v>
      </c>
      <c r="M12" s="228">
        <f t="shared" si="3"/>
        <v>147.64341181395889</v>
      </c>
      <c r="N12" s="228">
        <f t="shared" si="4"/>
        <v>5101.784308186041</v>
      </c>
      <c r="O12" s="228">
        <f t="shared" si="5"/>
        <v>10203.568616372082</v>
      </c>
      <c r="P12" s="228">
        <f t="shared" si="6"/>
        <v>122442.82339646498</v>
      </c>
    </row>
    <row r="13" spans="1:16" ht="18.75" x14ac:dyDescent="0.3">
      <c r="A13" s="225" t="str">
        <f t="shared" ref="A13:K13" si="15">A37</f>
        <v>Maestro cervecero</v>
      </c>
      <c r="B13" s="226">
        <f t="shared" si="15"/>
        <v>3</v>
      </c>
      <c r="C13" s="227">
        <f t="shared" si="15"/>
        <v>45029</v>
      </c>
      <c r="D13" s="226">
        <f t="shared" si="15"/>
        <v>1</v>
      </c>
      <c r="E13" s="228">
        <f t="shared" si="15"/>
        <v>300</v>
      </c>
      <c r="F13" s="228">
        <f t="shared" si="15"/>
        <v>4562.49</v>
      </c>
      <c r="G13" s="226">
        <f t="shared" si="15"/>
        <v>15</v>
      </c>
      <c r="H13" s="226">
        <f t="shared" si="15"/>
        <v>12</v>
      </c>
      <c r="I13" s="229">
        <f t="shared" si="15"/>
        <v>0.25</v>
      </c>
      <c r="J13" s="226">
        <f t="shared" si="15"/>
        <v>1.0493150684931507</v>
      </c>
      <c r="K13" s="228">
        <f t="shared" si="15"/>
        <v>314.79452054794524</v>
      </c>
      <c r="L13" s="228">
        <f t="shared" si="2"/>
        <v>147.42393399999997</v>
      </c>
      <c r="M13" s="228">
        <f t="shared" si="3"/>
        <v>113.70287578767123</v>
      </c>
      <c r="N13" s="228">
        <f t="shared" si="4"/>
        <v>4301.3631902123279</v>
      </c>
      <c r="O13" s="228">
        <f t="shared" si="5"/>
        <v>8602.7263804246559</v>
      </c>
      <c r="P13" s="228">
        <f t="shared" si="6"/>
        <v>103232.71656509588</v>
      </c>
    </row>
    <row r="14" spans="1:16" ht="18.75" x14ac:dyDescent="0.3">
      <c r="A14" s="225" t="str">
        <f t="shared" ref="A14:K14" si="16">A38</f>
        <v>Auxiliar Contador</v>
      </c>
      <c r="B14" s="226">
        <f t="shared" si="16"/>
        <v>3</v>
      </c>
      <c r="C14" s="227">
        <f t="shared" si="16"/>
        <v>44226</v>
      </c>
      <c r="D14" s="226">
        <f t="shared" si="16"/>
        <v>3</v>
      </c>
      <c r="E14" s="228">
        <f t="shared" si="16"/>
        <v>300</v>
      </c>
      <c r="F14" s="228">
        <f t="shared" si="16"/>
        <v>4562.49</v>
      </c>
      <c r="G14" s="226">
        <f t="shared" si="16"/>
        <v>15</v>
      </c>
      <c r="H14" s="226">
        <f t="shared" si="16"/>
        <v>16</v>
      </c>
      <c r="I14" s="229">
        <f t="shared" si="16"/>
        <v>0.25</v>
      </c>
      <c r="J14" s="226">
        <f t="shared" si="16"/>
        <v>1.0520547945205478</v>
      </c>
      <c r="K14" s="228">
        <f t="shared" si="16"/>
        <v>315.61643835616434</v>
      </c>
      <c r="L14" s="228">
        <f t="shared" si="2"/>
        <v>147.42393399999997</v>
      </c>
      <c r="M14" s="228">
        <f t="shared" si="3"/>
        <v>113.99975013698628</v>
      </c>
      <c r="N14" s="228">
        <f t="shared" si="4"/>
        <v>4301.0663158630132</v>
      </c>
      <c r="O14" s="228">
        <f t="shared" si="5"/>
        <v>8602.1326317260264</v>
      </c>
      <c r="P14" s="228">
        <f t="shared" si="6"/>
        <v>103225.59158071232</v>
      </c>
    </row>
    <row r="15" spans="1:16" ht="18.75" x14ac:dyDescent="0.3">
      <c r="A15" s="225" t="str">
        <f t="shared" ref="A15:K15" si="17">A39</f>
        <v xml:space="preserve">Auxiliar de produccion </v>
      </c>
      <c r="B15" s="226">
        <f t="shared" si="17"/>
        <v>4</v>
      </c>
      <c r="C15" s="227">
        <f t="shared" si="17"/>
        <v>45158</v>
      </c>
      <c r="D15" s="226">
        <f t="shared" si="17"/>
        <v>1</v>
      </c>
      <c r="E15" s="228">
        <f t="shared" si="17"/>
        <v>250</v>
      </c>
      <c r="F15" s="228">
        <f t="shared" si="17"/>
        <v>3802.0749999999998</v>
      </c>
      <c r="G15" s="226">
        <f t="shared" si="17"/>
        <v>15</v>
      </c>
      <c r="H15" s="226">
        <f t="shared" si="17"/>
        <v>12</v>
      </c>
      <c r="I15" s="229">
        <f t="shared" si="17"/>
        <v>0.25</v>
      </c>
      <c r="J15" s="226">
        <f t="shared" si="17"/>
        <v>1.0493150684931507</v>
      </c>
      <c r="K15" s="228">
        <f t="shared" si="17"/>
        <v>262.32876712328766</v>
      </c>
      <c r="L15" s="228">
        <f t="shared" si="2"/>
        <v>64.690782000000013</v>
      </c>
      <c r="M15" s="228">
        <f t="shared" si="3"/>
        <v>94.752396489726024</v>
      </c>
      <c r="N15" s="228">
        <f t="shared" si="4"/>
        <v>3642.6318215102738</v>
      </c>
      <c r="O15" s="228">
        <f t="shared" si="5"/>
        <v>7285.2636430205475</v>
      </c>
      <c r="P15" s="228">
        <f t="shared" si="6"/>
        <v>87423.163716246578</v>
      </c>
    </row>
    <row r="16" spans="1:16" ht="18.75" x14ac:dyDescent="0.3">
      <c r="A16" s="225" t="str">
        <f t="shared" ref="A16:K16" si="18">A40</f>
        <v>Meseros</v>
      </c>
      <c r="B16" s="226">
        <f t="shared" si="18"/>
        <v>4</v>
      </c>
      <c r="C16" s="227">
        <f t="shared" si="18"/>
        <v>45260</v>
      </c>
      <c r="D16" s="226">
        <f t="shared" si="18"/>
        <v>1</v>
      </c>
      <c r="E16" s="228">
        <f t="shared" si="18"/>
        <v>250</v>
      </c>
      <c r="F16" s="228">
        <f t="shared" si="18"/>
        <v>3802.0749999999998</v>
      </c>
      <c r="G16" s="226">
        <f t="shared" si="18"/>
        <v>15</v>
      </c>
      <c r="H16" s="226">
        <f t="shared" si="18"/>
        <v>12</v>
      </c>
      <c r="I16" s="229">
        <f t="shared" si="18"/>
        <v>0.25</v>
      </c>
      <c r="J16" s="226">
        <f t="shared" si="18"/>
        <v>1.0493150684931507</v>
      </c>
      <c r="K16" s="228">
        <f t="shared" si="18"/>
        <v>262.32876712328766</v>
      </c>
      <c r="L16" s="228">
        <f t="shared" si="2"/>
        <v>64.690782000000013</v>
      </c>
      <c r="M16" s="228">
        <f t="shared" si="3"/>
        <v>94.752396489726024</v>
      </c>
      <c r="N16" s="228">
        <f t="shared" si="4"/>
        <v>3642.6318215102738</v>
      </c>
      <c r="O16" s="228">
        <f t="shared" si="5"/>
        <v>7285.2636430205475</v>
      </c>
      <c r="P16" s="228">
        <f t="shared" si="6"/>
        <v>87423.163716246578</v>
      </c>
    </row>
    <row r="17" spans="1:21" ht="18.75" x14ac:dyDescent="0.3">
      <c r="A17" s="225" t="str">
        <f t="shared" ref="A17:K17" si="19">A41</f>
        <v>Cocineros</v>
      </c>
      <c r="B17" s="226">
        <f t="shared" si="19"/>
        <v>4</v>
      </c>
      <c r="C17" s="227">
        <f t="shared" si="19"/>
        <v>44862</v>
      </c>
      <c r="D17" s="226">
        <f t="shared" si="19"/>
        <v>2</v>
      </c>
      <c r="E17" s="228">
        <f t="shared" si="19"/>
        <v>250</v>
      </c>
      <c r="F17" s="228">
        <f t="shared" si="19"/>
        <v>3802.0749999999998</v>
      </c>
      <c r="G17" s="226">
        <f t="shared" si="19"/>
        <v>15</v>
      </c>
      <c r="H17" s="226">
        <f t="shared" si="19"/>
        <v>14</v>
      </c>
      <c r="I17" s="229">
        <f t="shared" si="19"/>
        <v>0.25</v>
      </c>
      <c r="J17" s="226">
        <f t="shared" si="19"/>
        <v>1.0506849315068494</v>
      </c>
      <c r="K17" s="228">
        <f t="shared" si="19"/>
        <v>262.67123287671234</v>
      </c>
      <c r="L17" s="228">
        <f t="shared" si="2"/>
        <v>64.690782000000013</v>
      </c>
      <c r="M17" s="228">
        <f t="shared" si="3"/>
        <v>94.876094135273974</v>
      </c>
      <c r="N17" s="228">
        <f t="shared" si="4"/>
        <v>3642.5081238647258</v>
      </c>
      <c r="O17" s="228">
        <f t="shared" si="5"/>
        <v>7285.0162477294516</v>
      </c>
      <c r="P17" s="228">
        <f t="shared" si="6"/>
        <v>87420.194972753423</v>
      </c>
      <c r="Q17" s="290"/>
      <c r="R17" s="290"/>
      <c r="S17" s="290"/>
      <c r="T17" s="290"/>
      <c r="U17" s="290"/>
    </row>
    <row r="18" spans="1:21" ht="18.75" x14ac:dyDescent="0.3">
      <c r="A18" s="225" t="str">
        <f t="shared" ref="A18:K18" si="20">A42</f>
        <v>Auxiliar de limpieza</v>
      </c>
      <c r="B18" s="226">
        <f t="shared" si="20"/>
        <v>5</v>
      </c>
      <c r="C18" s="227">
        <f t="shared" si="20"/>
        <v>45158</v>
      </c>
      <c r="D18" s="226">
        <f t="shared" si="20"/>
        <v>1</v>
      </c>
      <c r="E18" s="228">
        <f t="shared" si="20"/>
        <v>248.93</v>
      </c>
      <c r="F18" s="228">
        <f t="shared" si="20"/>
        <v>3785.8021189999999</v>
      </c>
      <c r="G18" s="226">
        <f t="shared" si="20"/>
        <v>15</v>
      </c>
      <c r="H18" s="226">
        <f t="shared" si="20"/>
        <v>12</v>
      </c>
      <c r="I18" s="229">
        <f t="shared" si="20"/>
        <v>0.25</v>
      </c>
      <c r="J18" s="226">
        <f t="shared" si="20"/>
        <v>1.0493150684931507</v>
      </c>
      <c r="K18" s="228">
        <f t="shared" si="20"/>
        <v>261.20600000000002</v>
      </c>
      <c r="L18" s="228">
        <f t="shared" si="2"/>
        <v>62.920292547200006</v>
      </c>
      <c r="M18" s="228">
        <f t="shared" si="3"/>
        <v>94.346856232750014</v>
      </c>
      <c r="N18" s="228">
        <f t="shared" si="4"/>
        <v>3628.5349702200501</v>
      </c>
      <c r="O18" s="228">
        <f t="shared" si="5"/>
        <v>7257.0699404401003</v>
      </c>
      <c r="P18" s="228">
        <f t="shared" si="6"/>
        <v>87084.839285281196</v>
      </c>
      <c r="Q18" s="290"/>
      <c r="R18" s="290"/>
      <c r="S18" s="290"/>
      <c r="T18" s="290"/>
      <c r="U18" s="290"/>
    </row>
    <row r="19" spans="1:21" ht="18.75" x14ac:dyDescent="0.3">
      <c r="A19" s="290"/>
      <c r="B19" s="290"/>
      <c r="C19" s="290"/>
      <c r="D19" s="290"/>
      <c r="E19" s="290"/>
      <c r="F19" s="290"/>
      <c r="G19" s="290"/>
      <c r="H19" s="290"/>
      <c r="I19" s="290"/>
      <c r="J19" s="290"/>
      <c r="K19" s="290"/>
      <c r="L19" s="290"/>
      <c r="M19" s="290"/>
      <c r="N19" s="291">
        <f>SUM(N4:N18)</f>
        <v>76519.832437183126</v>
      </c>
      <c r="O19" s="228">
        <f t="shared" si="5"/>
        <v>153039.66487436625</v>
      </c>
      <c r="P19" s="228">
        <f t="shared" si="6"/>
        <v>1836475.978492395</v>
      </c>
      <c r="Q19" s="290"/>
      <c r="R19" s="291"/>
      <c r="S19" s="292"/>
      <c r="T19" s="291"/>
      <c r="U19" s="290"/>
    </row>
    <row r="24" spans="1:21" ht="18.75" x14ac:dyDescent="0.3">
      <c r="A24" s="230" t="s">
        <v>336</v>
      </c>
      <c r="B24" s="290"/>
      <c r="C24" s="290"/>
      <c r="D24" s="290"/>
      <c r="E24" s="290"/>
      <c r="F24" s="290"/>
      <c r="G24" s="290"/>
      <c r="H24" s="290"/>
      <c r="I24" s="290"/>
      <c r="J24" s="290"/>
      <c r="K24" s="290">
        <v>3</v>
      </c>
      <c r="L24" s="291">
        <f>E28</f>
        <v>550</v>
      </c>
      <c r="M24" s="290" t="s">
        <v>337</v>
      </c>
      <c r="N24" s="290" t="s">
        <v>338</v>
      </c>
      <c r="O24" s="290"/>
      <c r="P24" s="290"/>
      <c r="Q24" s="290"/>
      <c r="R24" s="290"/>
      <c r="S24" s="290"/>
      <c r="T24" s="290"/>
      <c r="U24" s="290"/>
    </row>
    <row r="25" spans="1:21" x14ac:dyDescent="0.25">
      <c r="A25" s="290"/>
      <c r="B25" s="290"/>
      <c r="C25" s="290"/>
      <c r="D25" s="290"/>
      <c r="E25" s="290"/>
      <c r="F25" s="290"/>
      <c r="G25" s="290"/>
      <c r="H25" s="290"/>
      <c r="I25" s="290"/>
      <c r="J25" s="290"/>
      <c r="K25" s="290">
        <v>5</v>
      </c>
      <c r="L25" s="291">
        <f>K28</f>
        <v>580.13698630136992</v>
      </c>
      <c r="M25" s="290" t="s">
        <v>339</v>
      </c>
      <c r="N25" s="290" t="s">
        <v>340</v>
      </c>
      <c r="O25" s="290"/>
      <c r="P25" s="290"/>
      <c r="Q25" s="290"/>
      <c r="R25" s="290"/>
      <c r="S25" s="290"/>
      <c r="T25" s="231" t="s">
        <v>341</v>
      </c>
      <c r="U25" s="293">
        <v>108.57</v>
      </c>
    </row>
    <row r="26" spans="1:21" x14ac:dyDescent="0.25">
      <c r="A26" s="289"/>
      <c r="B26" s="231"/>
      <c r="C26" s="231"/>
      <c r="D26" s="231"/>
      <c r="E26" s="231"/>
      <c r="F26" s="231"/>
      <c r="G26" s="231" t="s">
        <v>329</v>
      </c>
      <c r="H26" s="231"/>
      <c r="I26" s="231"/>
      <c r="J26" s="231"/>
      <c r="K26" s="231"/>
      <c r="L26" s="231"/>
      <c r="M26" s="290"/>
      <c r="N26" s="290"/>
      <c r="O26" s="290"/>
      <c r="P26" s="290"/>
      <c r="Q26" s="290"/>
      <c r="R26" s="290"/>
      <c r="S26" s="290"/>
      <c r="T26" s="231" t="s">
        <v>342</v>
      </c>
      <c r="U26" s="294">
        <v>325.70999999999998</v>
      </c>
    </row>
    <row r="27" spans="1:21" x14ac:dyDescent="0.25">
      <c r="A27" s="231" t="s">
        <v>343</v>
      </c>
      <c r="B27" s="231" t="s">
        <v>344</v>
      </c>
      <c r="C27" s="231" t="s">
        <v>345</v>
      </c>
      <c r="D27" s="231" t="s">
        <v>346</v>
      </c>
      <c r="E27" s="231" t="s">
        <v>347</v>
      </c>
      <c r="F27" s="231" t="s">
        <v>348</v>
      </c>
      <c r="G27" s="231" t="s">
        <v>349</v>
      </c>
      <c r="H27" s="231" t="s">
        <v>350</v>
      </c>
      <c r="I27" s="231" t="s">
        <v>351</v>
      </c>
      <c r="J27" s="231" t="s">
        <v>352</v>
      </c>
      <c r="K27" s="231" t="s">
        <v>353</v>
      </c>
      <c r="L27" s="231" t="s">
        <v>354</v>
      </c>
      <c r="M27" s="232"/>
      <c r="N27" s="232"/>
      <c r="O27" s="290"/>
      <c r="P27" s="290"/>
      <c r="Q27" s="290"/>
      <c r="R27" s="290"/>
      <c r="S27" s="290"/>
      <c r="T27" s="290"/>
      <c r="U27" s="290"/>
    </row>
    <row r="28" spans="1:21" x14ac:dyDescent="0.25">
      <c r="A28" s="231" t="s">
        <v>355</v>
      </c>
      <c r="B28" s="295">
        <v>1</v>
      </c>
      <c r="C28" s="233">
        <v>43160</v>
      </c>
      <c r="D28" s="295">
        <f t="shared" ref="D28:D42" si="21">DATEDIF(C28,A$44,"y")</f>
        <v>6</v>
      </c>
      <c r="E28" s="296">
        <v>550</v>
      </c>
      <c r="F28" s="296">
        <f t="shared" ref="F28:F42" si="22">E28*15.2083</f>
        <v>8364.5650000000005</v>
      </c>
      <c r="G28" s="295">
        <v>15</v>
      </c>
      <c r="H28" s="295">
        <v>20</v>
      </c>
      <c r="I28" s="297">
        <v>0.25</v>
      </c>
      <c r="J28" s="295">
        <f t="shared" ref="J28:J42" si="23">((H28*I28)+G28+365)/365</f>
        <v>1.0547945205479452</v>
      </c>
      <c r="K28" s="296">
        <f t="shared" ref="K28:K42" si="24">E28*J28</f>
        <v>580.13698630136992</v>
      </c>
      <c r="L28" s="296">
        <f t="shared" ref="L28:L42" si="25">K28*15.2083</f>
        <v>8822.8973287671233</v>
      </c>
      <c r="M28" s="291"/>
      <c r="N28" s="291"/>
      <c r="O28" s="290"/>
      <c r="P28" s="290"/>
      <c r="Q28" s="290"/>
      <c r="R28" s="290"/>
      <c r="S28" s="290"/>
      <c r="T28" s="464" t="s">
        <v>356</v>
      </c>
      <c r="U28" s="464"/>
    </row>
    <row r="29" spans="1:21" x14ac:dyDescent="0.25">
      <c r="A29" s="231" t="s">
        <v>357</v>
      </c>
      <c r="B29" s="295">
        <v>2</v>
      </c>
      <c r="C29" s="233">
        <v>44274</v>
      </c>
      <c r="D29" s="295">
        <f t="shared" si="21"/>
        <v>3</v>
      </c>
      <c r="E29" s="296">
        <v>500</v>
      </c>
      <c r="F29" s="296">
        <f t="shared" si="22"/>
        <v>7604.15</v>
      </c>
      <c r="G29" s="295">
        <v>15</v>
      </c>
      <c r="H29" s="295">
        <v>16</v>
      </c>
      <c r="I29" s="297">
        <v>0.25</v>
      </c>
      <c r="J29" s="295">
        <f t="shared" si="23"/>
        <v>1.0520547945205478</v>
      </c>
      <c r="K29" s="296">
        <f t="shared" si="24"/>
        <v>526.02739726027391</v>
      </c>
      <c r="L29" s="296">
        <f t="shared" si="25"/>
        <v>7999.9824657534236</v>
      </c>
      <c r="M29" s="291"/>
      <c r="N29" s="291"/>
      <c r="O29" s="290"/>
      <c r="P29" s="290"/>
      <c r="Q29" s="290"/>
      <c r="R29" s="290"/>
      <c r="S29" s="290"/>
      <c r="T29" s="298" t="s">
        <v>358</v>
      </c>
      <c r="U29" s="234">
        <v>0.20399999999999999</v>
      </c>
    </row>
    <row r="30" spans="1:21" x14ac:dyDescent="0.25">
      <c r="A30" s="231" t="s">
        <v>359</v>
      </c>
      <c r="B30" s="295">
        <v>2</v>
      </c>
      <c r="C30" s="233">
        <v>44862</v>
      </c>
      <c r="D30" s="295">
        <f t="shared" si="21"/>
        <v>2</v>
      </c>
      <c r="E30" s="296">
        <v>520</v>
      </c>
      <c r="F30" s="296">
        <f t="shared" si="22"/>
        <v>7908.3159999999998</v>
      </c>
      <c r="G30" s="295">
        <v>15</v>
      </c>
      <c r="H30" s="295">
        <v>14</v>
      </c>
      <c r="I30" s="297">
        <v>0.25</v>
      </c>
      <c r="J30" s="295">
        <f t="shared" si="23"/>
        <v>1.0506849315068494</v>
      </c>
      <c r="K30" s="296">
        <f t="shared" si="24"/>
        <v>546.35616438356169</v>
      </c>
      <c r="L30" s="296">
        <f t="shared" si="25"/>
        <v>8309.1484547945201</v>
      </c>
      <c r="M30" s="291"/>
      <c r="N30" s="291"/>
      <c r="O30" s="290"/>
      <c r="P30" s="290"/>
      <c r="Q30" s="290"/>
      <c r="R30" s="290"/>
      <c r="S30" s="290"/>
      <c r="T30" s="299" t="s">
        <v>360</v>
      </c>
      <c r="U30" s="235">
        <v>1.0999999999999999E-2</v>
      </c>
    </row>
    <row r="31" spans="1:21" x14ac:dyDescent="0.25">
      <c r="A31" s="231" t="s">
        <v>361</v>
      </c>
      <c r="B31" s="295">
        <v>2</v>
      </c>
      <c r="C31" s="233">
        <v>45260</v>
      </c>
      <c r="D31" s="295">
        <f t="shared" si="21"/>
        <v>1</v>
      </c>
      <c r="E31" s="296">
        <v>520</v>
      </c>
      <c r="F31" s="296">
        <f t="shared" si="22"/>
        <v>7908.3159999999998</v>
      </c>
      <c r="G31" s="295">
        <v>15</v>
      </c>
      <c r="H31" s="295">
        <v>12</v>
      </c>
      <c r="I31" s="297">
        <v>0.25</v>
      </c>
      <c r="J31" s="295">
        <f t="shared" si="23"/>
        <v>1.0493150684931507</v>
      </c>
      <c r="K31" s="296">
        <f t="shared" si="24"/>
        <v>545.64383561643831</v>
      </c>
      <c r="L31" s="296">
        <f t="shared" si="25"/>
        <v>8298.315145205479</v>
      </c>
      <c r="M31" s="291"/>
      <c r="N31" s="291"/>
      <c r="O31" s="290"/>
      <c r="P31" s="290"/>
      <c r="Q31" s="290"/>
      <c r="R31" s="290"/>
      <c r="S31" s="290"/>
      <c r="T31" s="299" t="s">
        <v>362</v>
      </c>
      <c r="U31" s="235">
        <v>7.0000000000000001E-3</v>
      </c>
    </row>
    <row r="32" spans="1:21" x14ac:dyDescent="0.25">
      <c r="A32" s="231" t="s">
        <v>363</v>
      </c>
      <c r="B32" s="295">
        <v>2</v>
      </c>
      <c r="C32" s="233">
        <v>45061</v>
      </c>
      <c r="D32" s="295">
        <f t="shared" si="21"/>
        <v>1</v>
      </c>
      <c r="E32" s="296">
        <v>400</v>
      </c>
      <c r="F32" s="296">
        <f t="shared" si="22"/>
        <v>6083.32</v>
      </c>
      <c r="G32" s="295">
        <v>15</v>
      </c>
      <c r="H32" s="295">
        <v>12</v>
      </c>
      <c r="I32" s="297">
        <v>0.25</v>
      </c>
      <c r="J32" s="295">
        <f t="shared" si="23"/>
        <v>1.0493150684931507</v>
      </c>
      <c r="K32" s="296">
        <f t="shared" si="24"/>
        <v>419.72602739726028</v>
      </c>
      <c r="L32" s="296">
        <f t="shared" si="25"/>
        <v>6383.3193424657529</v>
      </c>
      <c r="M32" s="291"/>
      <c r="N32" s="291"/>
      <c r="O32" s="290"/>
      <c r="P32" s="290"/>
      <c r="Q32" s="290"/>
      <c r="R32" s="290"/>
      <c r="S32" s="290"/>
      <c r="T32" s="299" t="s">
        <v>364</v>
      </c>
      <c r="U32" s="235">
        <v>1.0500000000000001E-2</v>
      </c>
    </row>
    <row r="33" spans="1:21" x14ac:dyDescent="0.25">
      <c r="A33" s="231" t="s">
        <v>210</v>
      </c>
      <c r="B33" s="295">
        <v>3</v>
      </c>
      <c r="C33" s="233">
        <v>44315</v>
      </c>
      <c r="D33" s="295">
        <f t="shared" si="21"/>
        <v>3</v>
      </c>
      <c r="E33" s="296">
        <v>380</v>
      </c>
      <c r="F33" s="296">
        <f t="shared" si="22"/>
        <v>5779.1539999999995</v>
      </c>
      <c r="G33" s="295">
        <v>15</v>
      </c>
      <c r="H33" s="295">
        <v>16</v>
      </c>
      <c r="I33" s="297">
        <v>0.25</v>
      </c>
      <c r="J33" s="295">
        <f t="shared" si="23"/>
        <v>1.0520547945205478</v>
      </c>
      <c r="K33" s="296">
        <f t="shared" si="24"/>
        <v>399.78082191780817</v>
      </c>
      <c r="L33" s="296">
        <f t="shared" si="25"/>
        <v>6079.9866739726021</v>
      </c>
      <c r="M33" s="291"/>
      <c r="N33" s="291"/>
      <c r="O33" s="290"/>
      <c r="P33" s="290"/>
      <c r="Q33" s="290"/>
      <c r="R33" s="290"/>
      <c r="S33" s="290"/>
      <c r="T33" s="299" t="s">
        <v>365</v>
      </c>
      <c r="U33" s="235">
        <v>1.7500000000000002E-2</v>
      </c>
    </row>
    <row r="34" spans="1:21" x14ac:dyDescent="0.25">
      <c r="A34" s="231" t="s">
        <v>366</v>
      </c>
      <c r="B34" s="295">
        <v>3</v>
      </c>
      <c r="C34" s="233">
        <v>44239</v>
      </c>
      <c r="D34" s="295">
        <f t="shared" si="21"/>
        <v>3</v>
      </c>
      <c r="E34" s="296">
        <v>380</v>
      </c>
      <c r="F34" s="296">
        <f t="shared" si="22"/>
        <v>5779.1539999999995</v>
      </c>
      <c r="G34" s="295">
        <v>15</v>
      </c>
      <c r="H34" s="295">
        <v>16</v>
      </c>
      <c r="I34" s="297">
        <v>0.25</v>
      </c>
      <c r="J34" s="295">
        <f t="shared" si="23"/>
        <v>1.0520547945205478</v>
      </c>
      <c r="K34" s="296">
        <f t="shared" si="24"/>
        <v>399.78082191780817</v>
      </c>
      <c r="L34" s="296">
        <f t="shared" si="25"/>
        <v>6079.9866739726021</v>
      </c>
      <c r="M34" s="291"/>
      <c r="N34" s="291"/>
      <c r="O34" s="290"/>
      <c r="P34" s="290"/>
      <c r="Q34" s="290"/>
      <c r="R34" s="290"/>
      <c r="S34" s="290"/>
      <c r="T34" s="299" t="s">
        <v>367</v>
      </c>
      <c r="U34" s="235">
        <v>0.01</v>
      </c>
    </row>
    <row r="35" spans="1:21" x14ac:dyDescent="0.25">
      <c r="A35" s="231" t="s">
        <v>368</v>
      </c>
      <c r="B35" s="295">
        <v>3</v>
      </c>
      <c r="C35" s="233">
        <v>44247</v>
      </c>
      <c r="D35" s="295">
        <f t="shared" si="21"/>
        <v>3</v>
      </c>
      <c r="E35" s="296">
        <v>380</v>
      </c>
      <c r="F35" s="296">
        <f t="shared" si="22"/>
        <v>5779.1539999999995</v>
      </c>
      <c r="G35" s="295">
        <v>15</v>
      </c>
      <c r="H35" s="295">
        <v>16</v>
      </c>
      <c r="I35" s="297">
        <v>0.25</v>
      </c>
      <c r="J35" s="295">
        <f t="shared" si="23"/>
        <v>1.0520547945205478</v>
      </c>
      <c r="K35" s="296">
        <f t="shared" si="24"/>
        <v>399.78082191780817</v>
      </c>
      <c r="L35" s="296">
        <f t="shared" si="25"/>
        <v>6079.9866739726021</v>
      </c>
      <c r="M35" s="291"/>
      <c r="N35" s="291"/>
      <c r="O35" s="290"/>
      <c r="P35" s="290"/>
      <c r="Q35" s="290"/>
      <c r="R35" s="290"/>
      <c r="S35" s="290"/>
      <c r="T35" s="299" t="s">
        <v>369</v>
      </c>
      <c r="U35" s="235">
        <v>0.02</v>
      </c>
    </row>
    <row r="36" spans="1:21" x14ac:dyDescent="0.25">
      <c r="A36" s="231" t="s">
        <v>370</v>
      </c>
      <c r="B36" s="295">
        <v>3</v>
      </c>
      <c r="C36" s="233">
        <v>43855</v>
      </c>
      <c r="D36" s="295">
        <f t="shared" si="21"/>
        <v>4</v>
      </c>
      <c r="E36" s="296">
        <v>376.66666666666669</v>
      </c>
      <c r="F36" s="296">
        <f t="shared" si="22"/>
        <v>5728.4596666666666</v>
      </c>
      <c r="G36" s="295">
        <v>15</v>
      </c>
      <c r="H36" s="295">
        <v>18</v>
      </c>
      <c r="I36" s="297">
        <v>0.25</v>
      </c>
      <c r="J36" s="295">
        <f t="shared" si="23"/>
        <v>1.0534246575342465</v>
      </c>
      <c r="K36" s="296">
        <f t="shared" si="24"/>
        <v>396.78995433789953</v>
      </c>
      <c r="L36" s="296">
        <f t="shared" si="25"/>
        <v>6034.5006625570768</v>
      </c>
      <c r="M36" s="291"/>
      <c r="N36" s="291"/>
      <c r="O36" s="290"/>
      <c r="P36" s="290"/>
      <c r="Q36" s="290"/>
      <c r="R36" s="290"/>
      <c r="S36" s="290"/>
      <c r="T36" s="299" t="s">
        <v>371</v>
      </c>
      <c r="U36" s="235">
        <v>3.15E-2</v>
      </c>
    </row>
    <row r="37" spans="1:21" x14ac:dyDescent="0.25">
      <c r="A37" s="231" t="s">
        <v>197</v>
      </c>
      <c r="B37" s="295">
        <v>3</v>
      </c>
      <c r="C37" s="233">
        <v>45029</v>
      </c>
      <c r="D37" s="295">
        <f t="shared" si="21"/>
        <v>1</v>
      </c>
      <c r="E37" s="296">
        <v>300</v>
      </c>
      <c r="F37" s="296">
        <f t="shared" si="22"/>
        <v>4562.49</v>
      </c>
      <c r="G37" s="295">
        <v>15</v>
      </c>
      <c r="H37" s="295">
        <v>12</v>
      </c>
      <c r="I37" s="297">
        <v>0.25</v>
      </c>
      <c r="J37" s="295">
        <f t="shared" si="23"/>
        <v>1.0493150684931507</v>
      </c>
      <c r="K37" s="296">
        <f t="shared" si="24"/>
        <v>314.79452054794524</v>
      </c>
      <c r="L37" s="296">
        <f t="shared" si="25"/>
        <v>4787.4895068493151</v>
      </c>
      <c r="M37" s="291"/>
      <c r="N37" s="291"/>
      <c r="O37" s="290"/>
      <c r="P37" s="290"/>
      <c r="Q37" s="290"/>
      <c r="R37" s="290"/>
      <c r="S37" s="290"/>
      <c r="T37" s="300" t="s">
        <v>372</v>
      </c>
      <c r="U37" s="236">
        <v>0.05</v>
      </c>
    </row>
    <row r="38" spans="1:21" x14ac:dyDescent="0.25">
      <c r="A38" s="231" t="s">
        <v>373</v>
      </c>
      <c r="B38" s="295">
        <v>3</v>
      </c>
      <c r="C38" s="233">
        <v>44226</v>
      </c>
      <c r="D38" s="295">
        <f t="shared" si="21"/>
        <v>3</v>
      </c>
      <c r="E38" s="296">
        <v>300</v>
      </c>
      <c r="F38" s="296">
        <f t="shared" si="22"/>
        <v>4562.49</v>
      </c>
      <c r="G38" s="295">
        <v>15</v>
      </c>
      <c r="H38" s="295">
        <v>16</v>
      </c>
      <c r="I38" s="297">
        <v>0.25</v>
      </c>
      <c r="J38" s="295">
        <f t="shared" si="23"/>
        <v>1.0520547945205478</v>
      </c>
      <c r="K38" s="296">
        <f t="shared" si="24"/>
        <v>315.61643835616434</v>
      </c>
      <c r="L38" s="296">
        <f t="shared" si="25"/>
        <v>4799.9894794520542</v>
      </c>
      <c r="M38" s="291"/>
      <c r="N38" s="291"/>
      <c r="O38" s="290"/>
      <c r="P38" s="290"/>
      <c r="Q38" s="290"/>
      <c r="R38" s="290"/>
      <c r="S38" s="290"/>
      <c r="T38" s="290"/>
      <c r="U38" s="290"/>
    </row>
    <row r="39" spans="1:21" x14ac:dyDescent="0.25">
      <c r="A39" s="231" t="s">
        <v>374</v>
      </c>
      <c r="B39" s="295">
        <v>4</v>
      </c>
      <c r="C39" s="233">
        <v>45158</v>
      </c>
      <c r="D39" s="295">
        <f t="shared" si="21"/>
        <v>1</v>
      </c>
      <c r="E39" s="296">
        <v>250</v>
      </c>
      <c r="F39" s="296">
        <f t="shared" si="22"/>
        <v>3802.0749999999998</v>
      </c>
      <c r="G39" s="295">
        <v>15</v>
      </c>
      <c r="H39" s="295">
        <v>12</v>
      </c>
      <c r="I39" s="297">
        <v>0.25</v>
      </c>
      <c r="J39" s="295">
        <f t="shared" si="23"/>
        <v>1.0493150684931507</v>
      </c>
      <c r="K39" s="296">
        <f t="shared" si="24"/>
        <v>262.32876712328766</v>
      </c>
      <c r="L39" s="296">
        <f t="shared" si="25"/>
        <v>3989.5745890410958</v>
      </c>
      <c r="M39" s="291"/>
      <c r="N39" s="291"/>
      <c r="O39" s="290"/>
      <c r="P39" s="290"/>
      <c r="Q39" s="290"/>
      <c r="R39" s="290"/>
      <c r="S39" s="290"/>
      <c r="T39" s="464" t="s">
        <v>375</v>
      </c>
      <c r="U39" s="464"/>
    </row>
    <row r="40" spans="1:21" x14ac:dyDescent="0.25">
      <c r="A40" s="231" t="s">
        <v>376</v>
      </c>
      <c r="B40" s="295">
        <v>4</v>
      </c>
      <c r="C40" s="233">
        <v>45260</v>
      </c>
      <c r="D40" s="295">
        <f t="shared" si="21"/>
        <v>1</v>
      </c>
      <c r="E40" s="296">
        <v>250</v>
      </c>
      <c r="F40" s="296">
        <f t="shared" si="22"/>
        <v>3802.0749999999998</v>
      </c>
      <c r="G40" s="295">
        <v>15</v>
      </c>
      <c r="H40" s="295">
        <v>12</v>
      </c>
      <c r="I40" s="297">
        <v>0.25</v>
      </c>
      <c r="J40" s="295">
        <f t="shared" si="23"/>
        <v>1.0493150684931507</v>
      </c>
      <c r="K40" s="296">
        <f t="shared" si="24"/>
        <v>262.32876712328766</v>
      </c>
      <c r="L40" s="296">
        <f t="shared" si="25"/>
        <v>3989.5745890410958</v>
      </c>
      <c r="M40" s="291"/>
      <c r="N40" s="291"/>
      <c r="O40" s="290"/>
      <c r="P40" s="290"/>
      <c r="Q40" s="290"/>
      <c r="R40" s="290"/>
      <c r="S40" s="290"/>
      <c r="T40" s="301" t="s">
        <v>377</v>
      </c>
      <c r="U40" s="237">
        <v>4.6532499999999997E-2</v>
      </c>
    </row>
    <row r="41" spans="1:21" x14ac:dyDescent="0.25">
      <c r="A41" s="231" t="s">
        <v>378</v>
      </c>
      <c r="B41" s="295">
        <v>4</v>
      </c>
      <c r="C41" s="233">
        <v>44862</v>
      </c>
      <c r="D41" s="295">
        <f t="shared" si="21"/>
        <v>2</v>
      </c>
      <c r="E41" s="296">
        <v>250</v>
      </c>
      <c r="F41" s="296">
        <f t="shared" si="22"/>
        <v>3802.0749999999998</v>
      </c>
      <c r="G41" s="295">
        <v>15</v>
      </c>
      <c r="H41" s="295">
        <v>14</v>
      </c>
      <c r="I41" s="297">
        <v>0.25</v>
      </c>
      <c r="J41" s="295">
        <f t="shared" si="23"/>
        <v>1.0506849315068494</v>
      </c>
      <c r="K41" s="296">
        <f t="shared" si="24"/>
        <v>262.67123287671234</v>
      </c>
      <c r="L41" s="296">
        <f t="shared" si="25"/>
        <v>3994.7829109589043</v>
      </c>
      <c r="M41" s="291"/>
      <c r="N41" s="291"/>
      <c r="O41" s="290"/>
      <c r="P41" s="290"/>
      <c r="Q41" s="290"/>
      <c r="R41" s="290"/>
      <c r="S41" s="290"/>
      <c r="T41" s="290"/>
      <c r="U41" s="290"/>
    </row>
    <row r="42" spans="1:21" x14ac:dyDescent="0.25">
      <c r="A42" s="231" t="s">
        <v>379</v>
      </c>
      <c r="B42" s="295">
        <v>5</v>
      </c>
      <c r="C42" s="233">
        <v>45158</v>
      </c>
      <c r="D42" s="295">
        <f t="shared" si="21"/>
        <v>1</v>
      </c>
      <c r="E42" s="296">
        <v>248.93</v>
      </c>
      <c r="F42" s="296">
        <f t="shared" si="22"/>
        <v>3785.8021189999999</v>
      </c>
      <c r="G42" s="295">
        <v>15</v>
      </c>
      <c r="H42" s="295">
        <v>12</v>
      </c>
      <c r="I42" s="297">
        <v>0.25</v>
      </c>
      <c r="J42" s="295">
        <f t="shared" si="23"/>
        <v>1.0493150684931507</v>
      </c>
      <c r="K42" s="296">
        <f t="shared" si="24"/>
        <v>261.20600000000002</v>
      </c>
      <c r="L42" s="296">
        <f t="shared" si="25"/>
        <v>3972.4992098000002</v>
      </c>
      <c r="M42" s="291"/>
      <c r="N42" s="291"/>
      <c r="O42" s="290"/>
      <c r="P42" s="290"/>
      <c r="Q42" s="290"/>
      <c r="R42" s="290"/>
      <c r="S42" s="290"/>
      <c r="T42" s="464" t="s">
        <v>380</v>
      </c>
      <c r="U42" s="464"/>
    </row>
    <row r="43" spans="1:21" x14ac:dyDescent="0.25">
      <c r="A43" s="290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1"/>
      <c r="N43" s="290"/>
      <c r="O43" s="290"/>
      <c r="P43" s="290"/>
      <c r="Q43" s="290"/>
      <c r="R43" s="290"/>
      <c r="S43" s="290"/>
      <c r="T43" s="298" t="s">
        <v>362</v>
      </c>
      <c r="U43" s="302">
        <v>2.5000000000000001E-3</v>
      </c>
    </row>
    <row r="44" spans="1:21" x14ac:dyDescent="0.25">
      <c r="A44" s="303">
        <v>45657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9" t="s">
        <v>381</v>
      </c>
      <c r="U44" s="304">
        <v>3.7499999999999999E-3</v>
      </c>
    </row>
    <row r="45" spans="1:21" x14ac:dyDescent="0.25">
      <c r="A45" s="290"/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9" t="s">
        <v>382</v>
      </c>
      <c r="U45" s="304">
        <v>4.0000000000000001E-3</v>
      </c>
    </row>
    <row r="46" spans="1:21" ht="18.75" x14ac:dyDescent="0.3">
      <c r="A46" s="230" t="s">
        <v>383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9" t="s">
        <v>365</v>
      </c>
      <c r="U46" s="304">
        <v>6.2500000000000003E-3</v>
      </c>
    </row>
    <row r="47" spans="1:21" x14ac:dyDescent="0.25">
      <c r="A47" s="290"/>
      <c r="B47" s="290"/>
      <c r="C47" s="290"/>
      <c r="D47" s="290"/>
      <c r="E47" s="290"/>
      <c r="F47" s="290"/>
      <c r="G47" s="290"/>
      <c r="H47" s="290"/>
      <c r="I47" s="290"/>
      <c r="J47" s="290"/>
      <c r="K47" s="290"/>
      <c r="L47" s="290"/>
      <c r="M47" s="290"/>
      <c r="N47" s="290"/>
      <c r="O47" s="290"/>
      <c r="P47" s="290"/>
      <c r="Q47" s="290"/>
      <c r="R47" s="290"/>
      <c r="S47" s="290"/>
      <c r="T47" s="300" t="s">
        <v>384</v>
      </c>
      <c r="U47" s="305">
        <v>1.125E-2</v>
      </c>
    </row>
    <row r="48" spans="1:21" x14ac:dyDescent="0.25">
      <c r="A48" s="231" t="str">
        <f>A27</f>
        <v>Puesto</v>
      </c>
      <c r="B48" s="231" t="str">
        <f>B27</f>
        <v>Nivel</v>
      </c>
      <c r="C48" s="231" t="str">
        <f>C27</f>
        <v>Fecha de ingreso</v>
      </c>
      <c r="D48" s="231" t="str">
        <f t="shared" ref="D48:E63" si="26">E27</f>
        <v>Salario Base</v>
      </c>
      <c r="E48" s="231" t="str">
        <f t="shared" si="26"/>
        <v>Salario Quincenal</v>
      </c>
      <c r="F48" s="231" t="str">
        <f t="shared" ref="F48:F63" si="27">K27</f>
        <v>SBC</v>
      </c>
      <c r="G48" s="231" t="s">
        <v>385</v>
      </c>
      <c r="H48" s="231" t="s">
        <v>386</v>
      </c>
      <c r="I48" s="231" t="s">
        <v>362</v>
      </c>
      <c r="J48" s="231" t="s">
        <v>387</v>
      </c>
      <c r="K48" s="231" t="s">
        <v>365</v>
      </c>
      <c r="L48" s="231" t="s">
        <v>367</v>
      </c>
      <c r="M48" s="231" t="s">
        <v>369</v>
      </c>
      <c r="N48" s="231" t="s">
        <v>371</v>
      </c>
      <c r="O48" s="231" t="s">
        <v>388</v>
      </c>
      <c r="P48" s="231" t="s">
        <v>389</v>
      </c>
      <c r="Q48" s="231" t="s">
        <v>236</v>
      </c>
      <c r="R48" s="290"/>
      <c r="S48" s="290"/>
      <c r="T48" s="290"/>
      <c r="U48" s="290"/>
    </row>
    <row r="49" spans="1:17" x14ac:dyDescent="0.25">
      <c r="A49" s="231" t="str">
        <f t="shared" ref="A49:B63" si="28">A28</f>
        <v>Gerente general</v>
      </c>
      <c r="B49" s="295">
        <f t="shared" si="28"/>
        <v>1</v>
      </c>
      <c r="C49" s="233">
        <v>43160</v>
      </c>
      <c r="D49" s="296">
        <f t="shared" si="26"/>
        <v>550</v>
      </c>
      <c r="E49" s="296">
        <f t="shared" si="26"/>
        <v>8364.5650000000005</v>
      </c>
      <c r="F49" s="296">
        <f t="shared" si="27"/>
        <v>580.13698630136992</v>
      </c>
      <c r="G49" s="296">
        <f t="shared" ref="G49:G63" si="29">(U$25*15.2083)*U$29</f>
        <v>336.83768672399992</v>
      </c>
      <c r="H49" s="296">
        <f t="shared" ref="H49:H57" si="30">((F49-U$26)*U$30)*15.2083</f>
        <v>42.56342129343836</v>
      </c>
      <c r="I49" s="296">
        <f t="shared" ref="I49:I63" si="31">(F49*15.2083)*U$31</f>
        <v>61.760281301369865</v>
      </c>
      <c r="J49" s="296">
        <f t="shared" ref="J49:J63" si="32">(F49*15.2083)*U$32</f>
        <v>92.640421952054794</v>
      </c>
      <c r="K49" s="296">
        <f t="shared" ref="K49:K63" si="33">(F49*15.2083)*U$33</f>
        <v>154.40070325342467</v>
      </c>
      <c r="L49" s="296">
        <f t="shared" ref="L49:L63" si="34">(F49*15.2083)*U$34</f>
        <v>88.228973287671238</v>
      </c>
      <c r="M49" s="296">
        <f t="shared" ref="M49:M63" si="35">(F49*15.2083)*U$35</f>
        <v>176.45794657534248</v>
      </c>
      <c r="N49" s="296">
        <f t="shared" ref="N49:N63" si="36">(F49*15.2083)*U$36</f>
        <v>277.92126585616438</v>
      </c>
      <c r="O49" s="296">
        <f t="shared" ref="O49:O63" si="37">(F49*15.2083)*U$37</f>
        <v>441.14486643835619</v>
      </c>
      <c r="P49" s="296">
        <f t="shared" ref="P49:P63" si="38">(F49*15.2083)*U$40</f>
        <v>410.55146995085613</v>
      </c>
      <c r="Q49" s="238">
        <f t="shared" ref="Q49:Q63" si="39">SUM(G49:P49)</f>
        <v>2082.5070366326781</v>
      </c>
    </row>
    <row r="50" spans="1:17" x14ac:dyDescent="0.25">
      <c r="A50" s="231" t="str">
        <f t="shared" si="28"/>
        <v>Gerente de restaurante</v>
      </c>
      <c r="B50" s="295">
        <f t="shared" si="28"/>
        <v>2</v>
      </c>
      <c r="C50" s="233">
        <v>44274</v>
      </c>
      <c r="D50" s="296">
        <f t="shared" si="26"/>
        <v>500</v>
      </c>
      <c r="E50" s="296">
        <f t="shared" si="26"/>
        <v>7604.15</v>
      </c>
      <c r="F50" s="296">
        <f t="shared" si="27"/>
        <v>526.02739726027391</v>
      </c>
      <c r="G50" s="296">
        <f t="shared" si="29"/>
        <v>336.83768672399992</v>
      </c>
      <c r="H50" s="296">
        <f t="shared" si="30"/>
        <v>33.511357800287662</v>
      </c>
      <c r="I50" s="296">
        <f t="shared" si="31"/>
        <v>55.999877260273969</v>
      </c>
      <c r="J50" s="296">
        <f t="shared" si="32"/>
        <v>83.999815890410957</v>
      </c>
      <c r="K50" s="296">
        <f t="shared" si="33"/>
        <v>139.99969315068492</v>
      </c>
      <c r="L50" s="296">
        <f t="shared" si="34"/>
        <v>79.999824657534234</v>
      </c>
      <c r="M50" s="296">
        <f t="shared" si="35"/>
        <v>159.99964931506847</v>
      </c>
      <c r="N50" s="296">
        <f t="shared" si="36"/>
        <v>251.99944767123284</v>
      </c>
      <c r="O50" s="296">
        <f t="shared" si="37"/>
        <v>399.99912328767118</v>
      </c>
      <c r="P50" s="296">
        <f t="shared" si="38"/>
        <v>372.25918408767114</v>
      </c>
      <c r="Q50" s="238">
        <f t="shared" si="39"/>
        <v>1914.6056598448354</v>
      </c>
    </row>
    <row r="51" spans="1:17" x14ac:dyDescent="0.25">
      <c r="A51" s="231" t="str">
        <f t="shared" si="28"/>
        <v>Gerente de producción</v>
      </c>
      <c r="B51" s="295">
        <f t="shared" si="28"/>
        <v>2</v>
      </c>
      <c r="C51" s="233">
        <v>44862</v>
      </c>
      <c r="D51" s="296">
        <f t="shared" si="26"/>
        <v>520</v>
      </c>
      <c r="E51" s="296">
        <f t="shared" si="26"/>
        <v>7908.3159999999998</v>
      </c>
      <c r="F51" s="296">
        <f t="shared" si="27"/>
        <v>546.35616438356169</v>
      </c>
      <c r="G51" s="296">
        <f t="shared" si="29"/>
        <v>336.83768672399992</v>
      </c>
      <c r="H51" s="296">
        <f t="shared" si="30"/>
        <v>36.912183679739734</v>
      </c>
      <c r="I51" s="296">
        <f t="shared" si="31"/>
        <v>58.164039183561641</v>
      </c>
      <c r="J51" s="296">
        <f t="shared" si="32"/>
        <v>87.246058775342462</v>
      </c>
      <c r="K51" s="296">
        <f t="shared" si="33"/>
        <v>145.41009795890412</v>
      </c>
      <c r="L51" s="296">
        <f t="shared" si="34"/>
        <v>83.0914845479452</v>
      </c>
      <c r="M51" s="296">
        <f t="shared" si="35"/>
        <v>166.1829690958904</v>
      </c>
      <c r="N51" s="296">
        <f t="shared" si="36"/>
        <v>261.73817632602737</v>
      </c>
      <c r="O51" s="296">
        <f t="shared" si="37"/>
        <v>415.45742273972604</v>
      </c>
      <c r="P51" s="296">
        <f t="shared" si="38"/>
        <v>386.645450472726</v>
      </c>
      <c r="Q51" s="238">
        <f t="shared" si="39"/>
        <v>1977.685569503863</v>
      </c>
    </row>
    <row r="52" spans="1:17" x14ac:dyDescent="0.25">
      <c r="A52" s="231" t="str">
        <f t="shared" si="28"/>
        <v>Gerente de ventas</v>
      </c>
      <c r="B52" s="295">
        <f t="shared" si="28"/>
        <v>2</v>
      </c>
      <c r="C52" s="233">
        <v>45260</v>
      </c>
      <c r="D52" s="296">
        <f t="shared" si="26"/>
        <v>520</v>
      </c>
      <c r="E52" s="296">
        <f t="shared" si="26"/>
        <v>7908.3159999999998</v>
      </c>
      <c r="F52" s="296">
        <f t="shared" si="27"/>
        <v>545.64383561643831</v>
      </c>
      <c r="G52" s="296">
        <f t="shared" si="29"/>
        <v>336.83768672399992</v>
      </c>
      <c r="H52" s="296">
        <f t="shared" si="30"/>
        <v>36.793017274260265</v>
      </c>
      <c r="I52" s="296">
        <f t="shared" si="31"/>
        <v>58.088206016438356</v>
      </c>
      <c r="J52" s="296">
        <f t="shared" si="32"/>
        <v>87.13230902465753</v>
      </c>
      <c r="K52" s="296">
        <f t="shared" si="33"/>
        <v>145.22051504109589</v>
      </c>
      <c r="L52" s="296">
        <f t="shared" si="34"/>
        <v>82.983151452054798</v>
      </c>
      <c r="M52" s="296">
        <f t="shared" si="35"/>
        <v>165.9663029041096</v>
      </c>
      <c r="N52" s="296">
        <f t="shared" si="36"/>
        <v>261.39692707397256</v>
      </c>
      <c r="O52" s="296">
        <f t="shared" si="37"/>
        <v>414.91575726027395</v>
      </c>
      <c r="P52" s="296">
        <f t="shared" si="38"/>
        <v>386.14134949427392</v>
      </c>
      <c r="Q52" s="238">
        <f t="shared" si="39"/>
        <v>1975.4752222651368</v>
      </c>
    </row>
    <row r="53" spans="1:17" x14ac:dyDescent="0.25">
      <c r="A53" s="231" t="str">
        <f t="shared" si="28"/>
        <v>Gerente de finanzas</v>
      </c>
      <c r="B53" s="295">
        <f t="shared" si="28"/>
        <v>2</v>
      </c>
      <c r="C53" s="233">
        <v>45061</v>
      </c>
      <c r="D53" s="296">
        <f t="shared" si="26"/>
        <v>400</v>
      </c>
      <c r="E53" s="296">
        <f t="shared" si="26"/>
        <v>6083.32</v>
      </c>
      <c r="F53" s="296">
        <f t="shared" si="27"/>
        <v>419.72602739726028</v>
      </c>
      <c r="G53" s="296">
        <f t="shared" si="29"/>
        <v>336.83768672399992</v>
      </c>
      <c r="H53" s="296">
        <f t="shared" si="30"/>
        <v>15.728063444123292</v>
      </c>
      <c r="I53" s="296">
        <f t="shared" si="31"/>
        <v>44.683235397260269</v>
      </c>
      <c r="J53" s="296">
        <f t="shared" si="32"/>
        <v>67.024853095890407</v>
      </c>
      <c r="K53" s="296">
        <f t="shared" si="33"/>
        <v>111.70808849315068</v>
      </c>
      <c r="L53" s="296">
        <f t="shared" si="34"/>
        <v>63.83319342465753</v>
      </c>
      <c r="M53" s="296">
        <f t="shared" si="35"/>
        <v>127.66638684931506</v>
      </c>
      <c r="N53" s="296">
        <f t="shared" si="36"/>
        <v>201.07455928767121</v>
      </c>
      <c r="O53" s="296">
        <f t="shared" si="37"/>
        <v>319.16596712328766</v>
      </c>
      <c r="P53" s="296">
        <f t="shared" si="38"/>
        <v>297.03180730328762</v>
      </c>
      <c r="Q53" s="238">
        <f t="shared" si="39"/>
        <v>1584.7538411426435</v>
      </c>
    </row>
    <row r="54" spans="1:17" x14ac:dyDescent="0.25">
      <c r="A54" s="231" t="str">
        <f t="shared" si="28"/>
        <v>Encargado de mantenimiento</v>
      </c>
      <c r="B54" s="295">
        <f t="shared" si="28"/>
        <v>3</v>
      </c>
      <c r="C54" s="233">
        <v>44315</v>
      </c>
      <c r="D54" s="296">
        <f t="shared" si="26"/>
        <v>380</v>
      </c>
      <c r="E54" s="296">
        <f t="shared" si="26"/>
        <v>5779.1539999999995</v>
      </c>
      <c r="F54" s="296">
        <f t="shared" si="27"/>
        <v>399.78082191780817</v>
      </c>
      <c r="G54" s="296">
        <f t="shared" si="29"/>
        <v>336.83768672399992</v>
      </c>
      <c r="H54" s="296">
        <f t="shared" si="30"/>
        <v>12.391404090698625</v>
      </c>
      <c r="I54" s="296">
        <f t="shared" si="31"/>
        <v>42.559906717808218</v>
      </c>
      <c r="J54" s="296">
        <f t="shared" si="32"/>
        <v>63.839860076712327</v>
      </c>
      <c r="K54" s="296">
        <f t="shared" si="33"/>
        <v>106.39976679452054</v>
      </c>
      <c r="L54" s="296">
        <f t="shared" si="34"/>
        <v>60.799866739726021</v>
      </c>
      <c r="M54" s="296">
        <f t="shared" si="35"/>
        <v>121.59973347945204</v>
      </c>
      <c r="N54" s="296">
        <f t="shared" si="36"/>
        <v>191.51958023013697</v>
      </c>
      <c r="O54" s="296">
        <f t="shared" si="37"/>
        <v>303.9993336986301</v>
      </c>
      <c r="P54" s="296">
        <f t="shared" si="38"/>
        <v>282.9169799066301</v>
      </c>
      <c r="Q54" s="238">
        <f t="shared" si="39"/>
        <v>1522.8641184583148</v>
      </c>
    </row>
    <row r="55" spans="1:17" x14ac:dyDescent="0.25">
      <c r="A55" s="231" t="str">
        <f t="shared" si="28"/>
        <v>Encargado de almacen</v>
      </c>
      <c r="B55" s="295">
        <f t="shared" si="28"/>
        <v>3</v>
      </c>
      <c r="C55" s="233">
        <v>44239</v>
      </c>
      <c r="D55" s="296">
        <f t="shared" si="26"/>
        <v>380</v>
      </c>
      <c r="E55" s="296">
        <f t="shared" si="26"/>
        <v>5779.1539999999995</v>
      </c>
      <c r="F55" s="296">
        <f t="shared" si="27"/>
        <v>399.78082191780817</v>
      </c>
      <c r="G55" s="296">
        <f t="shared" si="29"/>
        <v>336.83768672399992</v>
      </c>
      <c r="H55" s="296">
        <f t="shared" si="30"/>
        <v>12.391404090698625</v>
      </c>
      <c r="I55" s="296">
        <f t="shared" si="31"/>
        <v>42.559906717808218</v>
      </c>
      <c r="J55" s="296">
        <f t="shared" si="32"/>
        <v>63.839860076712327</v>
      </c>
      <c r="K55" s="296">
        <f t="shared" si="33"/>
        <v>106.39976679452054</v>
      </c>
      <c r="L55" s="296">
        <f t="shared" si="34"/>
        <v>60.799866739726021</v>
      </c>
      <c r="M55" s="296">
        <f t="shared" si="35"/>
        <v>121.59973347945204</v>
      </c>
      <c r="N55" s="296">
        <f t="shared" si="36"/>
        <v>191.51958023013697</v>
      </c>
      <c r="O55" s="296">
        <f t="shared" si="37"/>
        <v>303.9993336986301</v>
      </c>
      <c r="P55" s="296">
        <f t="shared" si="38"/>
        <v>282.9169799066301</v>
      </c>
      <c r="Q55" s="238">
        <f t="shared" si="39"/>
        <v>1522.8641184583148</v>
      </c>
    </row>
    <row r="56" spans="1:17" x14ac:dyDescent="0.25">
      <c r="A56" s="231" t="str">
        <f t="shared" si="28"/>
        <v>Jefe de cocina</v>
      </c>
      <c r="B56" s="295">
        <f t="shared" si="28"/>
        <v>3</v>
      </c>
      <c r="C56" s="233">
        <v>44247</v>
      </c>
      <c r="D56" s="296">
        <f t="shared" si="26"/>
        <v>380</v>
      </c>
      <c r="E56" s="296">
        <f t="shared" si="26"/>
        <v>5779.1539999999995</v>
      </c>
      <c r="F56" s="296">
        <f t="shared" si="27"/>
        <v>399.78082191780817</v>
      </c>
      <c r="G56" s="296">
        <f t="shared" si="29"/>
        <v>336.83768672399992</v>
      </c>
      <c r="H56" s="296">
        <f t="shared" si="30"/>
        <v>12.391404090698625</v>
      </c>
      <c r="I56" s="296">
        <f t="shared" si="31"/>
        <v>42.559906717808218</v>
      </c>
      <c r="J56" s="296">
        <f t="shared" si="32"/>
        <v>63.839860076712327</v>
      </c>
      <c r="K56" s="296">
        <f t="shared" si="33"/>
        <v>106.39976679452054</v>
      </c>
      <c r="L56" s="296">
        <f t="shared" si="34"/>
        <v>60.799866739726021</v>
      </c>
      <c r="M56" s="296">
        <f t="shared" si="35"/>
        <v>121.59973347945204</v>
      </c>
      <c r="N56" s="296">
        <f t="shared" si="36"/>
        <v>191.51958023013697</v>
      </c>
      <c r="O56" s="296">
        <f t="shared" si="37"/>
        <v>303.9993336986301</v>
      </c>
      <c r="P56" s="296">
        <f t="shared" si="38"/>
        <v>282.9169799066301</v>
      </c>
      <c r="Q56" s="238">
        <f t="shared" si="39"/>
        <v>1522.8641184583148</v>
      </c>
    </row>
    <row r="57" spans="1:17" x14ac:dyDescent="0.25">
      <c r="A57" s="231" t="str">
        <f t="shared" si="28"/>
        <v>Relaciones públicas</v>
      </c>
      <c r="B57" s="295">
        <f t="shared" si="28"/>
        <v>3</v>
      </c>
      <c r="C57" s="233">
        <v>43855</v>
      </c>
      <c r="D57" s="296">
        <f t="shared" si="26"/>
        <v>376.66666666666669</v>
      </c>
      <c r="E57" s="296">
        <f t="shared" si="26"/>
        <v>5728.4596666666666</v>
      </c>
      <c r="F57" s="296">
        <f t="shared" si="27"/>
        <v>396.78995433789953</v>
      </c>
      <c r="G57" s="296">
        <f t="shared" si="29"/>
        <v>336.83768672399992</v>
      </c>
      <c r="H57" s="296">
        <f t="shared" si="30"/>
        <v>11.891057965127855</v>
      </c>
      <c r="I57" s="296">
        <f t="shared" si="31"/>
        <v>42.241504637899538</v>
      </c>
      <c r="J57" s="296">
        <f t="shared" si="32"/>
        <v>63.362256956849308</v>
      </c>
      <c r="K57" s="296">
        <f t="shared" si="33"/>
        <v>105.60376159474886</v>
      </c>
      <c r="L57" s="296">
        <f t="shared" si="34"/>
        <v>60.345006625570768</v>
      </c>
      <c r="M57" s="296">
        <f t="shared" si="35"/>
        <v>120.69001325114154</v>
      </c>
      <c r="N57" s="296">
        <f t="shared" si="36"/>
        <v>190.08677087054792</v>
      </c>
      <c r="O57" s="296">
        <f t="shared" si="37"/>
        <v>301.72503312785386</v>
      </c>
      <c r="P57" s="296">
        <f t="shared" si="38"/>
        <v>280.80040208043715</v>
      </c>
      <c r="Q57" s="238">
        <f t="shared" si="39"/>
        <v>1513.5834938341766</v>
      </c>
    </row>
    <row r="58" spans="1:17" x14ac:dyDescent="0.25">
      <c r="A58" s="231" t="str">
        <f t="shared" si="28"/>
        <v>Maestro cervecero</v>
      </c>
      <c r="B58" s="295">
        <f t="shared" si="28"/>
        <v>3</v>
      </c>
      <c r="C58" s="233">
        <v>45029</v>
      </c>
      <c r="D58" s="296">
        <f t="shared" si="26"/>
        <v>300</v>
      </c>
      <c r="E58" s="296">
        <f t="shared" si="26"/>
        <v>4562.49</v>
      </c>
      <c r="F58" s="296">
        <f t="shared" si="27"/>
        <v>314.79452054794524</v>
      </c>
      <c r="G58" s="296">
        <f t="shared" si="29"/>
        <v>336.83768672399992</v>
      </c>
      <c r="H58" s="296">
        <v>0</v>
      </c>
      <c r="I58" s="296">
        <f t="shared" si="31"/>
        <v>33.512426547945203</v>
      </c>
      <c r="J58" s="296">
        <f t="shared" si="32"/>
        <v>50.268639821917809</v>
      </c>
      <c r="K58" s="296">
        <f t="shared" si="33"/>
        <v>83.781066369863026</v>
      </c>
      <c r="L58" s="296">
        <f t="shared" si="34"/>
        <v>47.874895068493153</v>
      </c>
      <c r="M58" s="296">
        <f t="shared" si="35"/>
        <v>95.749790136986306</v>
      </c>
      <c r="N58" s="296">
        <f t="shared" si="36"/>
        <v>150.80591946575342</v>
      </c>
      <c r="O58" s="296">
        <f t="shared" si="37"/>
        <v>239.37447534246576</v>
      </c>
      <c r="P58" s="296">
        <f t="shared" si="38"/>
        <v>222.77385547746576</v>
      </c>
      <c r="Q58" s="238">
        <f t="shared" si="39"/>
        <v>1260.9787549548903</v>
      </c>
    </row>
    <row r="59" spans="1:17" x14ac:dyDescent="0.25">
      <c r="A59" s="231" t="str">
        <f t="shared" si="28"/>
        <v>Auxiliar Contador</v>
      </c>
      <c r="B59" s="295">
        <f t="shared" si="28"/>
        <v>3</v>
      </c>
      <c r="C59" s="233">
        <v>44226</v>
      </c>
      <c r="D59" s="296">
        <f t="shared" si="26"/>
        <v>300</v>
      </c>
      <c r="E59" s="296">
        <f t="shared" si="26"/>
        <v>4562.49</v>
      </c>
      <c r="F59" s="296">
        <f t="shared" si="27"/>
        <v>315.61643835616434</v>
      </c>
      <c r="G59" s="296">
        <f t="shared" si="29"/>
        <v>336.83768672399992</v>
      </c>
      <c r="H59" s="296">
        <v>0</v>
      </c>
      <c r="I59" s="296">
        <f t="shared" si="31"/>
        <v>33.599926356164382</v>
      </c>
      <c r="J59" s="296">
        <f t="shared" si="32"/>
        <v>50.399889534246569</v>
      </c>
      <c r="K59" s="296">
        <f t="shared" si="33"/>
        <v>83.999815890410957</v>
      </c>
      <c r="L59" s="296">
        <f t="shared" si="34"/>
        <v>47.999894794520543</v>
      </c>
      <c r="M59" s="296">
        <f t="shared" si="35"/>
        <v>95.999789589041086</v>
      </c>
      <c r="N59" s="296">
        <f t="shared" si="36"/>
        <v>151.19966860273971</v>
      </c>
      <c r="O59" s="296">
        <f t="shared" si="37"/>
        <v>239.99947397260271</v>
      </c>
      <c r="P59" s="296">
        <f t="shared" si="38"/>
        <v>223.35551045260269</v>
      </c>
      <c r="Q59" s="238">
        <f t="shared" si="39"/>
        <v>1263.3916559163285</v>
      </c>
    </row>
    <row r="60" spans="1:17" x14ac:dyDescent="0.25">
      <c r="A60" s="231" t="str">
        <f t="shared" si="28"/>
        <v xml:space="preserve">Auxiliar de produccion </v>
      </c>
      <c r="B60" s="295">
        <f t="shared" si="28"/>
        <v>4</v>
      </c>
      <c r="C60" s="233">
        <v>45158</v>
      </c>
      <c r="D60" s="296">
        <f t="shared" si="26"/>
        <v>250</v>
      </c>
      <c r="E60" s="296">
        <f t="shared" si="26"/>
        <v>3802.0749999999998</v>
      </c>
      <c r="F60" s="296">
        <f t="shared" si="27"/>
        <v>262.32876712328766</v>
      </c>
      <c r="G60" s="296">
        <f t="shared" si="29"/>
        <v>336.83768672399992</v>
      </c>
      <c r="H60" s="296">
        <v>0</v>
      </c>
      <c r="I60" s="296">
        <f t="shared" si="31"/>
        <v>27.927022123287671</v>
      </c>
      <c r="J60" s="296">
        <f t="shared" si="32"/>
        <v>41.890533184931506</v>
      </c>
      <c r="K60" s="296">
        <f t="shared" si="33"/>
        <v>69.817555308219184</v>
      </c>
      <c r="L60" s="296">
        <f t="shared" si="34"/>
        <v>39.895745890410957</v>
      </c>
      <c r="M60" s="296">
        <f t="shared" si="35"/>
        <v>79.791491780821914</v>
      </c>
      <c r="N60" s="296">
        <f t="shared" si="36"/>
        <v>125.67159955479453</v>
      </c>
      <c r="O60" s="296">
        <f t="shared" si="37"/>
        <v>199.47872945205481</v>
      </c>
      <c r="P60" s="296">
        <f t="shared" si="38"/>
        <v>185.64487956455477</v>
      </c>
      <c r="Q60" s="238">
        <f t="shared" si="39"/>
        <v>1106.9552435830753</v>
      </c>
    </row>
    <row r="61" spans="1:17" x14ac:dyDescent="0.25">
      <c r="A61" s="231" t="str">
        <f t="shared" si="28"/>
        <v>Meseros</v>
      </c>
      <c r="B61" s="295">
        <f t="shared" si="28"/>
        <v>4</v>
      </c>
      <c r="C61" s="233">
        <v>45260</v>
      </c>
      <c r="D61" s="296">
        <f t="shared" si="26"/>
        <v>250</v>
      </c>
      <c r="E61" s="296">
        <f t="shared" si="26"/>
        <v>3802.0749999999998</v>
      </c>
      <c r="F61" s="296">
        <f t="shared" si="27"/>
        <v>262.32876712328766</v>
      </c>
      <c r="G61" s="296">
        <f t="shared" si="29"/>
        <v>336.83768672399992</v>
      </c>
      <c r="H61" s="296">
        <v>0</v>
      </c>
      <c r="I61" s="296">
        <f t="shared" si="31"/>
        <v>27.927022123287671</v>
      </c>
      <c r="J61" s="296">
        <f t="shared" si="32"/>
        <v>41.890533184931506</v>
      </c>
      <c r="K61" s="296">
        <f t="shared" si="33"/>
        <v>69.817555308219184</v>
      </c>
      <c r="L61" s="296">
        <f t="shared" si="34"/>
        <v>39.895745890410957</v>
      </c>
      <c r="M61" s="296">
        <f t="shared" si="35"/>
        <v>79.791491780821914</v>
      </c>
      <c r="N61" s="296">
        <f t="shared" si="36"/>
        <v>125.67159955479453</v>
      </c>
      <c r="O61" s="296">
        <f t="shared" si="37"/>
        <v>199.47872945205481</v>
      </c>
      <c r="P61" s="296">
        <f t="shared" si="38"/>
        <v>185.64487956455477</v>
      </c>
      <c r="Q61" s="238">
        <f t="shared" si="39"/>
        <v>1106.9552435830753</v>
      </c>
    </row>
    <row r="62" spans="1:17" x14ac:dyDescent="0.25">
      <c r="A62" s="231" t="str">
        <f t="shared" si="28"/>
        <v>Cocineros</v>
      </c>
      <c r="B62" s="295">
        <f t="shared" si="28"/>
        <v>4</v>
      </c>
      <c r="C62" s="233">
        <v>44862</v>
      </c>
      <c r="D62" s="296">
        <f t="shared" si="26"/>
        <v>250</v>
      </c>
      <c r="E62" s="296">
        <f t="shared" si="26"/>
        <v>3802.0749999999998</v>
      </c>
      <c r="F62" s="296">
        <f t="shared" si="27"/>
        <v>262.67123287671234</v>
      </c>
      <c r="G62" s="296">
        <f t="shared" si="29"/>
        <v>336.83768672399992</v>
      </c>
      <c r="H62" s="296">
        <v>0</v>
      </c>
      <c r="I62" s="296">
        <f t="shared" si="31"/>
        <v>27.963480376712329</v>
      </c>
      <c r="J62" s="296">
        <f t="shared" si="32"/>
        <v>41.945220565068496</v>
      </c>
      <c r="K62" s="296">
        <f t="shared" si="33"/>
        <v>69.908700941780836</v>
      </c>
      <c r="L62" s="296">
        <f t="shared" si="34"/>
        <v>39.947829109589044</v>
      </c>
      <c r="M62" s="296">
        <f t="shared" si="35"/>
        <v>79.895658219178088</v>
      </c>
      <c r="N62" s="296">
        <f t="shared" si="36"/>
        <v>125.83566169520549</v>
      </c>
      <c r="O62" s="296">
        <f t="shared" si="37"/>
        <v>199.73914554794521</v>
      </c>
      <c r="P62" s="296">
        <f t="shared" si="38"/>
        <v>185.8872358041952</v>
      </c>
      <c r="Q62" s="238">
        <f t="shared" si="39"/>
        <v>1107.9606189836747</v>
      </c>
    </row>
    <row r="63" spans="1:17" x14ac:dyDescent="0.25">
      <c r="A63" s="231" t="str">
        <f t="shared" si="28"/>
        <v>Auxiliar de limpieza</v>
      </c>
      <c r="B63" s="295">
        <f t="shared" si="28"/>
        <v>5</v>
      </c>
      <c r="C63" s="233">
        <v>45158</v>
      </c>
      <c r="D63" s="296">
        <f t="shared" si="26"/>
        <v>248.93</v>
      </c>
      <c r="E63" s="296">
        <f t="shared" si="26"/>
        <v>3785.8021189999999</v>
      </c>
      <c r="F63" s="296">
        <f t="shared" si="27"/>
        <v>261.20600000000002</v>
      </c>
      <c r="G63" s="296">
        <f t="shared" si="29"/>
        <v>336.83768672399992</v>
      </c>
      <c r="H63" s="296">
        <v>0</v>
      </c>
      <c r="I63" s="296">
        <f t="shared" si="31"/>
        <v>27.807494468600002</v>
      </c>
      <c r="J63" s="296">
        <f t="shared" si="32"/>
        <v>41.711241702900004</v>
      </c>
      <c r="K63" s="296">
        <f t="shared" si="33"/>
        <v>69.518736171500009</v>
      </c>
      <c r="L63" s="296">
        <f t="shared" si="34"/>
        <v>39.724992098000001</v>
      </c>
      <c r="M63" s="296">
        <f t="shared" si="35"/>
        <v>79.449984196000003</v>
      </c>
      <c r="N63" s="296">
        <f t="shared" si="36"/>
        <v>125.13372510870001</v>
      </c>
      <c r="O63" s="296">
        <f t="shared" si="37"/>
        <v>198.62496049000003</v>
      </c>
      <c r="P63" s="296">
        <f t="shared" si="38"/>
        <v>184.8503194800185</v>
      </c>
      <c r="Q63" s="238">
        <f t="shared" si="39"/>
        <v>1103.6591404397186</v>
      </c>
    </row>
    <row r="64" spans="1:17" x14ac:dyDescent="0.25">
      <c r="A64" s="290"/>
      <c r="B64" s="295"/>
      <c r="C64" s="295"/>
      <c r="D64" s="295"/>
      <c r="E64" s="295"/>
      <c r="F64" s="295"/>
      <c r="G64" s="238">
        <f t="shared" ref="G64:Q64" si="40">SUM(G49:G63)</f>
        <v>5052.5653008600002</v>
      </c>
      <c r="H64" s="238">
        <f t="shared" si="40"/>
        <v>214.57331372907302</v>
      </c>
      <c r="I64" s="238">
        <f t="shared" si="40"/>
        <v>627.35423594622546</v>
      </c>
      <c r="J64" s="238">
        <f t="shared" si="40"/>
        <v>941.03135391933824</v>
      </c>
      <c r="K64" s="238">
        <f t="shared" si="40"/>
        <v>1568.385589865564</v>
      </c>
      <c r="L64" s="238">
        <f t="shared" si="40"/>
        <v>896.22033706603645</v>
      </c>
      <c r="M64" s="238">
        <f t="shared" si="40"/>
        <v>1792.4406741320729</v>
      </c>
      <c r="N64" s="238">
        <f t="shared" si="40"/>
        <v>2823.0940617580154</v>
      </c>
      <c r="O64" s="238">
        <f t="shared" si="40"/>
        <v>4481.1016853301817</v>
      </c>
      <c r="P64" s="238">
        <f t="shared" si="40"/>
        <v>4170.3372834525344</v>
      </c>
      <c r="Q64" s="238">
        <f t="shared" si="40"/>
        <v>22567.103836059036</v>
      </c>
    </row>
    <row r="65" spans="1:21" ht="18.75" x14ac:dyDescent="0.3">
      <c r="A65" s="230" t="s">
        <v>390</v>
      </c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/>
      <c r="R65" s="290"/>
      <c r="S65" s="290"/>
      <c r="T65" s="290"/>
      <c r="U65" s="290"/>
    </row>
    <row r="67" spans="1:21" ht="18.75" x14ac:dyDescent="0.3">
      <c r="A67" s="231" t="str">
        <f>A27</f>
        <v>Puesto</v>
      </c>
      <c r="B67" s="231" t="str">
        <f>B27</f>
        <v>Nivel</v>
      </c>
      <c r="C67" s="231" t="str">
        <f>C27</f>
        <v>Fecha de ingreso</v>
      </c>
      <c r="D67" s="231" t="str">
        <f t="shared" ref="D67:D82" si="41">E27</f>
        <v>Salario Base</v>
      </c>
      <c r="E67" s="231" t="str">
        <f t="shared" ref="E67:E82" si="42">K27</f>
        <v>SBC</v>
      </c>
      <c r="F67" s="231" t="str">
        <f t="shared" ref="F67:F82" si="43">L27</f>
        <v>SBC*15</v>
      </c>
      <c r="G67" s="231" t="s">
        <v>362</v>
      </c>
      <c r="H67" s="231" t="s">
        <v>381</v>
      </c>
      <c r="I67" s="231" t="s">
        <v>382</v>
      </c>
      <c r="J67" s="231" t="s">
        <v>365</v>
      </c>
      <c r="K67" s="231" t="s">
        <v>384</v>
      </c>
      <c r="L67" s="231" t="s">
        <v>236</v>
      </c>
      <c r="M67" s="290"/>
      <c r="N67" s="225" t="s">
        <v>391</v>
      </c>
      <c r="O67" s="225" t="s">
        <v>392</v>
      </c>
      <c r="P67" s="239" t="s">
        <v>393</v>
      </c>
      <c r="Q67" s="290"/>
      <c r="R67" s="290"/>
      <c r="S67" s="239" t="s">
        <v>353</v>
      </c>
      <c r="T67" s="239" t="s">
        <v>394</v>
      </c>
      <c r="U67" s="239" t="s">
        <v>395</v>
      </c>
    </row>
    <row r="68" spans="1:21" ht="15.75" x14ac:dyDescent="0.25">
      <c r="A68" s="231" t="str">
        <f t="shared" ref="A68:B82" si="44">A28</f>
        <v>Gerente general</v>
      </c>
      <c r="B68" s="295">
        <f t="shared" si="44"/>
        <v>1</v>
      </c>
      <c r="C68" s="233">
        <v>43160</v>
      </c>
      <c r="D68" s="296">
        <f t="shared" si="41"/>
        <v>550</v>
      </c>
      <c r="E68" s="296">
        <f t="shared" si="42"/>
        <v>580.13698630136992</v>
      </c>
      <c r="F68" s="296">
        <f t="shared" si="43"/>
        <v>8822.8973287671233</v>
      </c>
      <c r="G68" s="296">
        <f t="shared" ref="G68:G82" si="45">F68*U$43</f>
        <v>22.057243321917809</v>
      </c>
      <c r="H68" s="296">
        <f t="shared" ref="H68:H82" si="46">F68*U$44</f>
        <v>33.085864982876714</v>
      </c>
      <c r="I68" s="296">
        <f t="shared" ref="I68:I76" si="47">((E68-U$26)*15.2083)*U$45</f>
        <v>15.477607743068496</v>
      </c>
      <c r="J68" s="296">
        <f t="shared" ref="J68:J82" si="48">F68*U$46</f>
        <v>55.143108304794524</v>
      </c>
      <c r="K68" s="296">
        <f t="shared" ref="K68:K82" si="49">F68*U$47</f>
        <v>99.257594948630128</v>
      </c>
      <c r="L68" s="238">
        <f t="shared" ref="L68:L82" si="50">SUM(G68:K68)</f>
        <v>225.02141930128766</v>
      </c>
      <c r="M68" s="290"/>
      <c r="N68" s="240">
        <f t="shared" ref="N68:N82" si="51">E4</f>
        <v>550</v>
      </c>
      <c r="O68" s="241">
        <v>0.03</v>
      </c>
      <c r="P68" s="240">
        <f t="shared" ref="P68:P82" si="52">N68*O68</f>
        <v>16.5</v>
      </c>
      <c r="Q68" s="290"/>
      <c r="R68" s="290"/>
      <c r="S68" s="240">
        <f t="shared" ref="S68:S82" si="53">F49</f>
        <v>580.13698630136992</v>
      </c>
      <c r="T68" s="241">
        <v>0.05</v>
      </c>
      <c r="U68" s="240">
        <f t="shared" ref="U68:U82" si="54">S68*T68</f>
        <v>29.006849315068497</v>
      </c>
    </row>
    <row r="69" spans="1:21" ht="15.75" x14ac:dyDescent="0.25">
      <c r="A69" s="231" t="str">
        <f t="shared" si="44"/>
        <v>Gerente de restaurante</v>
      </c>
      <c r="B69" s="295">
        <f t="shared" si="44"/>
        <v>2</v>
      </c>
      <c r="C69" s="233">
        <v>44274</v>
      </c>
      <c r="D69" s="296">
        <f t="shared" si="41"/>
        <v>500</v>
      </c>
      <c r="E69" s="296">
        <f t="shared" si="42"/>
        <v>526.02739726027391</v>
      </c>
      <c r="F69" s="296">
        <f t="shared" si="43"/>
        <v>7999.9824657534236</v>
      </c>
      <c r="G69" s="296">
        <f t="shared" si="45"/>
        <v>19.999956164383558</v>
      </c>
      <c r="H69" s="296">
        <f t="shared" si="46"/>
        <v>29.999934246575336</v>
      </c>
      <c r="I69" s="296">
        <f t="shared" si="47"/>
        <v>12.185948291013696</v>
      </c>
      <c r="J69" s="296">
        <f t="shared" si="48"/>
        <v>49.999890410958898</v>
      </c>
      <c r="K69" s="296">
        <f t="shared" si="49"/>
        <v>89.999802739726007</v>
      </c>
      <c r="L69" s="238">
        <f t="shared" si="50"/>
        <v>202.1855318526575</v>
      </c>
      <c r="M69" s="290"/>
      <c r="N69" s="240">
        <f t="shared" si="51"/>
        <v>500</v>
      </c>
      <c r="O69" s="241">
        <v>0.03</v>
      </c>
      <c r="P69" s="240">
        <f t="shared" si="52"/>
        <v>15</v>
      </c>
      <c r="Q69" s="290"/>
      <c r="R69" s="290"/>
      <c r="S69" s="240">
        <f t="shared" si="53"/>
        <v>526.02739726027391</v>
      </c>
      <c r="T69" s="241">
        <v>0.05</v>
      </c>
      <c r="U69" s="240">
        <f t="shared" si="54"/>
        <v>26.301369863013697</v>
      </c>
    </row>
    <row r="70" spans="1:21" ht="15.75" x14ac:dyDescent="0.25">
      <c r="A70" s="231" t="str">
        <f t="shared" si="44"/>
        <v>Gerente de producción</v>
      </c>
      <c r="B70" s="295">
        <f t="shared" si="44"/>
        <v>2</v>
      </c>
      <c r="C70" s="233">
        <v>44862</v>
      </c>
      <c r="D70" s="296">
        <f t="shared" si="41"/>
        <v>520</v>
      </c>
      <c r="E70" s="296">
        <f t="shared" si="42"/>
        <v>546.35616438356169</v>
      </c>
      <c r="F70" s="296">
        <f t="shared" si="43"/>
        <v>8309.1484547945201</v>
      </c>
      <c r="G70" s="296">
        <f t="shared" si="45"/>
        <v>20.7728711369863</v>
      </c>
      <c r="H70" s="296">
        <f t="shared" si="46"/>
        <v>31.159306705479448</v>
      </c>
      <c r="I70" s="296">
        <f t="shared" si="47"/>
        <v>13.422612247178085</v>
      </c>
      <c r="J70" s="296">
        <f t="shared" si="48"/>
        <v>51.932177842465755</v>
      </c>
      <c r="K70" s="296">
        <f t="shared" si="49"/>
        <v>93.477920116438355</v>
      </c>
      <c r="L70" s="238">
        <f t="shared" si="50"/>
        <v>210.76488804854793</v>
      </c>
      <c r="M70" s="290"/>
      <c r="N70" s="240">
        <f t="shared" si="51"/>
        <v>520</v>
      </c>
      <c r="O70" s="241">
        <v>0.03</v>
      </c>
      <c r="P70" s="240">
        <f t="shared" si="52"/>
        <v>15.6</v>
      </c>
      <c r="Q70" s="290"/>
      <c r="R70" s="290"/>
      <c r="S70" s="240">
        <f t="shared" si="53"/>
        <v>546.35616438356169</v>
      </c>
      <c r="T70" s="241">
        <v>0.05</v>
      </c>
      <c r="U70" s="240">
        <f t="shared" si="54"/>
        <v>27.317808219178087</v>
      </c>
    </row>
    <row r="71" spans="1:21" ht="15.75" x14ac:dyDescent="0.25">
      <c r="A71" s="231" t="str">
        <f t="shared" si="44"/>
        <v>Gerente de ventas</v>
      </c>
      <c r="B71" s="295">
        <f t="shared" si="44"/>
        <v>2</v>
      </c>
      <c r="C71" s="233">
        <v>45260</v>
      </c>
      <c r="D71" s="296">
        <f t="shared" si="41"/>
        <v>520</v>
      </c>
      <c r="E71" s="296">
        <f t="shared" si="42"/>
        <v>545.64383561643831</v>
      </c>
      <c r="F71" s="296">
        <f t="shared" si="43"/>
        <v>8298.315145205479</v>
      </c>
      <c r="G71" s="296">
        <f t="shared" si="45"/>
        <v>20.7457878630137</v>
      </c>
      <c r="H71" s="296">
        <f t="shared" si="46"/>
        <v>31.118681794520544</v>
      </c>
      <c r="I71" s="296">
        <f t="shared" si="47"/>
        <v>13.379279008821916</v>
      </c>
      <c r="J71" s="296">
        <f t="shared" si="48"/>
        <v>51.864469657534244</v>
      </c>
      <c r="K71" s="296">
        <f t="shared" si="49"/>
        <v>93.356045383561636</v>
      </c>
      <c r="L71" s="238">
        <f t="shared" si="50"/>
        <v>210.46426370745203</v>
      </c>
      <c r="M71" s="290"/>
      <c r="N71" s="240">
        <f t="shared" si="51"/>
        <v>520</v>
      </c>
      <c r="O71" s="241">
        <v>0.03</v>
      </c>
      <c r="P71" s="240">
        <f t="shared" si="52"/>
        <v>15.6</v>
      </c>
      <c r="Q71" s="290"/>
      <c r="R71" s="290"/>
      <c r="S71" s="240">
        <f t="shared" si="53"/>
        <v>545.64383561643831</v>
      </c>
      <c r="T71" s="241">
        <v>0.05</v>
      </c>
      <c r="U71" s="240">
        <f t="shared" si="54"/>
        <v>27.282191780821918</v>
      </c>
    </row>
    <row r="72" spans="1:21" ht="15.75" x14ac:dyDescent="0.25">
      <c r="A72" s="231" t="str">
        <f t="shared" si="44"/>
        <v>Gerente de finanzas</v>
      </c>
      <c r="B72" s="295">
        <f t="shared" si="44"/>
        <v>2</v>
      </c>
      <c r="C72" s="233">
        <v>45061</v>
      </c>
      <c r="D72" s="296">
        <f t="shared" si="41"/>
        <v>400</v>
      </c>
      <c r="E72" s="296">
        <f t="shared" si="42"/>
        <v>419.72602739726028</v>
      </c>
      <c r="F72" s="296">
        <f t="shared" si="43"/>
        <v>6383.3193424657529</v>
      </c>
      <c r="G72" s="296">
        <f t="shared" si="45"/>
        <v>15.958298356164383</v>
      </c>
      <c r="H72" s="296">
        <f t="shared" si="46"/>
        <v>23.937447534246573</v>
      </c>
      <c r="I72" s="296">
        <f t="shared" si="47"/>
        <v>5.7192957978630155</v>
      </c>
      <c r="J72" s="296">
        <f t="shared" si="48"/>
        <v>39.895745890410957</v>
      </c>
      <c r="K72" s="296">
        <f t="shared" si="49"/>
        <v>71.812342602739719</v>
      </c>
      <c r="L72" s="238">
        <f t="shared" si="50"/>
        <v>157.32313018142463</v>
      </c>
      <c r="M72" s="290"/>
      <c r="N72" s="240">
        <f t="shared" si="51"/>
        <v>400</v>
      </c>
      <c r="O72" s="241">
        <v>0.03</v>
      </c>
      <c r="P72" s="240">
        <f t="shared" si="52"/>
        <v>12</v>
      </c>
      <c r="Q72" s="290"/>
      <c r="R72" s="290"/>
      <c r="S72" s="240">
        <f t="shared" si="53"/>
        <v>419.72602739726028</v>
      </c>
      <c r="T72" s="241">
        <v>0.05</v>
      </c>
      <c r="U72" s="240">
        <f t="shared" si="54"/>
        <v>20.986301369863014</v>
      </c>
    </row>
    <row r="73" spans="1:21" ht="15.75" x14ac:dyDescent="0.25">
      <c r="A73" s="231" t="str">
        <f t="shared" si="44"/>
        <v>Encargado de mantenimiento</v>
      </c>
      <c r="B73" s="295">
        <f t="shared" si="44"/>
        <v>3</v>
      </c>
      <c r="C73" s="233">
        <v>44315</v>
      </c>
      <c r="D73" s="296">
        <f t="shared" si="41"/>
        <v>380</v>
      </c>
      <c r="E73" s="296">
        <f t="shared" si="42"/>
        <v>399.78082191780817</v>
      </c>
      <c r="F73" s="296">
        <f t="shared" si="43"/>
        <v>6079.9866739726021</v>
      </c>
      <c r="G73" s="296">
        <f t="shared" si="45"/>
        <v>15.199966684931505</v>
      </c>
      <c r="H73" s="296">
        <f t="shared" si="46"/>
        <v>22.799950027397259</v>
      </c>
      <c r="I73" s="296">
        <f t="shared" si="47"/>
        <v>4.5059651238904088</v>
      </c>
      <c r="J73" s="296">
        <f t="shared" si="48"/>
        <v>37.999916712328762</v>
      </c>
      <c r="K73" s="296">
        <f t="shared" si="49"/>
        <v>68.399850082191776</v>
      </c>
      <c r="L73" s="238">
        <f t="shared" si="50"/>
        <v>148.90564863073973</v>
      </c>
      <c r="M73" s="290"/>
      <c r="N73" s="240">
        <f t="shared" si="51"/>
        <v>380</v>
      </c>
      <c r="O73" s="241">
        <v>0.03</v>
      </c>
      <c r="P73" s="240">
        <f t="shared" si="52"/>
        <v>11.4</v>
      </c>
      <c r="Q73" s="290"/>
      <c r="R73" s="290"/>
      <c r="S73" s="240">
        <f t="shared" si="53"/>
        <v>399.78082191780817</v>
      </c>
      <c r="T73" s="241">
        <v>0.05</v>
      </c>
      <c r="U73" s="240">
        <f t="shared" si="54"/>
        <v>19.989041095890411</v>
      </c>
    </row>
    <row r="74" spans="1:21" ht="15.75" x14ac:dyDescent="0.25">
      <c r="A74" s="231" t="str">
        <f t="shared" si="44"/>
        <v>Encargado de almacen</v>
      </c>
      <c r="B74" s="295">
        <f t="shared" si="44"/>
        <v>3</v>
      </c>
      <c r="C74" s="233">
        <v>44239</v>
      </c>
      <c r="D74" s="296">
        <f t="shared" si="41"/>
        <v>380</v>
      </c>
      <c r="E74" s="296">
        <f t="shared" si="42"/>
        <v>399.78082191780817</v>
      </c>
      <c r="F74" s="296">
        <f t="shared" si="43"/>
        <v>6079.9866739726021</v>
      </c>
      <c r="G74" s="296">
        <f t="shared" si="45"/>
        <v>15.199966684931505</v>
      </c>
      <c r="H74" s="296">
        <f t="shared" si="46"/>
        <v>22.799950027397259</v>
      </c>
      <c r="I74" s="296">
        <f t="shared" si="47"/>
        <v>4.5059651238904088</v>
      </c>
      <c r="J74" s="296">
        <f t="shared" si="48"/>
        <v>37.999916712328762</v>
      </c>
      <c r="K74" s="296">
        <f t="shared" si="49"/>
        <v>68.399850082191776</v>
      </c>
      <c r="L74" s="238">
        <f t="shared" si="50"/>
        <v>148.90564863073973</v>
      </c>
      <c r="M74" s="290"/>
      <c r="N74" s="240">
        <f t="shared" si="51"/>
        <v>380</v>
      </c>
      <c r="O74" s="241">
        <v>0.03</v>
      </c>
      <c r="P74" s="240">
        <f t="shared" si="52"/>
        <v>11.4</v>
      </c>
      <c r="Q74" s="290"/>
      <c r="R74" s="290"/>
      <c r="S74" s="240">
        <f t="shared" si="53"/>
        <v>399.78082191780817</v>
      </c>
      <c r="T74" s="241">
        <v>0.05</v>
      </c>
      <c r="U74" s="240">
        <f t="shared" si="54"/>
        <v>19.989041095890411</v>
      </c>
    </row>
    <row r="75" spans="1:21" ht="15.75" x14ac:dyDescent="0.25">
      <c r="A75" s="231" t="str">
        <f t="shared" si="44"/>
        <v>Jefe de cocina</v>
      </c>
      <c r="B75" s="295">
        <f t="shared" si="44"/>
        <v>3</v>
      </c>
      <c r="C75" s="233">
        <v>44247</v>
      </c>
      <c r="D75" s="296">
        <f t="shared" si="41"/>
        <v>380</v>
      </c>
      <c r="E75" s="296">
        <f t="shared" si="42"/>
        <v>399.78082191780817</v>
      </c>
      <c r="F75" s="296">
        <f t="shared" si="43"/>
        <v>6079.9866739726021</v>
      </c>
      <c r="G75" s="296">
        <f t="shared" si="45"/>
        <v>15.199966684931505</v>
      </c>
      <c r="H75" s="296">
        <f t="shared" si="46"/>
        <v>22.799950027397259</v>
      </c>
      <c r="I75" s="296">
        <f t="shared" si="47"/>
        <v>4.5059651238904088</v>
      </c>
      <c r="J75" s="296">
        <f t="shared" si="48"/>
        <v>37.999916712328762</v>
      </c>
      <c r="K75" s="296">
        <f t="shared" si="49"/>
        <v>68.399850082191776</v>
      </c>
      <c r="L75" s="238">
        <f t="shared" si="50"/>
        <v>148.90564863073973</v>
      </c>
      <c r="M75" s="290"/>
      <c r="N75" s="240">
        <f t="shared" si="51"/>
        <v>380</v>
      </c>
      <c r="O75" s="241">
        <v>0.03</v>
      </c>
      <c r="P75" s="240">
        <f t="shared" si="52"/>
        <v>11.4</v>
      </c>
      <c r="Q75" s="290"/>
      <c r="R75" s="290"/>
      <c r="S75" s="240">
        <f t="shared" si="53"/>
        <v>399.78082191780817</v>
      </c>
      <c r="T75" s="241">
        <v>0.05</v>
      </c>
      <c r="U75" s="240">
        <f t="shared" si="54"/>
        <v>19.989041095890411</v>
      </c>
    </row>
    <row r="76" spans="1:21" ht="15.75" x14ac:dyDescent="0.25">
      <c r="A76" s="231" t="str">
        <f t="shared" si="44"/>
        <v>Relaciones públicas</v>
      </c>
      <c r="B76" s="295">
        <f t="shared" si="44"/>
        <v>3</v>
      </c>
      <c r="C76" s="233">
        <v>43855</v>
      </c>
      <c r="D76" s="296">
        <f t="shared" si="41"/>
        <v>376.66666666666669</v>
      </c>
      <c r="E76" s="296">
        <f t="shared" si="42"/>
        <v>396.78995433789953</v>
      </c>
      <c r="F76" s="296">
        <f t="shared" si="43"/>
        <v>6034.5006625570768</v>
      </c>
      <c r="G76" s="296">
        <f t="shared" si="45"/>
        <v>15.086251656392692</v>
      </c>
      <c r="H76" s="296">
        <f t="shared" si="46"/>
        <v>22.629377484589035</v>
      </c>
      <c r="I76" s="296">
        <f t="shared" si="47"/>
        <v>4.3240210782283111</v>
      </c>
      <c r="J76" s="296">
        <f t="shared" si="48"/>
        <v>37.715629140981733</v>
      </c>
      <c r="K76" s="296">
        <f t="shared" si="49"/>
        <v>67.888132453767113</v>
      </c>
      <c r="L76" s="238">
        <f t="shared" si="50"/>
        <v>147.64341181395889</v>
      </c>
      <c r="M76" s="290"/>
      <c r="N76" s="240">
        <f t="shared" si="51"/>
        <v>376.66666666666669</v>
      </c>
      <c r="O76" s="241">
        <v>0.03</v>
      </c>
      <c r="P76" s="240">
        <f t="shared" si="52"/>
        <v>11.3</v>
      </c>
      <c r="Q76" s="290"/>
      <c r="R76" s="290"/>
      <c r="S76" s="240">
        <f t="shared" si="53"/>
        <v>396.78995433789953</v>
      </c>
      <c r="T76" s="241">
        <v>0.05</v>
      </c>
      <c r="U76" s="240">
        <f t="shared" si="54"/>
        <v>19.839497716894979</v>
      </c>
    </row>
    <row r="77" spans="1:21" ht="15.75" x14ac:dyDescent="0.25">
      <c r="A77" s="231" t="str">
        <f t="shared" si="44"/>
        <v>Maestro cervecero</v>
      </c>
      <c r="B77" s="295">
        <f t="shared" si="44"/>
        <v>3</v>
      </c>
      <c r="C77" s="233">
        <v>45029</v>
      </c>
      <c r="D77" s="296">
        <f t="shared" si="41"/>
        <v>300</v>
      </c>
      <c r="E77" s="296">
        <f t="shared" si="42"/>
        <v>314.79452054794524</v>
      </c>
      <c r="F77" s="296">
        <f t="shared" si="43"/>
        <v>4787.4895068493151</v>
      </c>
      <c r="G77" s="296">
        <f t="shared" si="45"/>
        <v>11.968723767123288</v>
      </c>
      <c r="H77" s="296">
        <f t="shared" si="46"/>
        <v>17.95308565068493</v>
      </c>
      <c r="I77" s="296">
        <v>0</v>
      </c>
      <c r="J77" s="296">
        <f t="shared" si="48"/>
        <v>29.92180941780822</v>
      </c>
      <c r="K77" s="296">
        <f t="shared" si="49"/>
        <v>53.859256952054793</v>
      </c>
      <c r="L77" s="238">
        <f t="shared" si="50"/>
        <v>113.70287578767123</v>
      </c>
      <c r="M77" s="290"/>
      <c r="N77" s="240">
        <f t="shared" si="51"/>
        <v>300</v>
      </c>
      <c r="O77" s="241">
        <v>0.03</v>
      </c>
      <c r="P77" s="240">
        <f t="shared" si="52"/>
        <v>9</v>
      </c>
      <c r="Q77" s="290"/>
      <c r="R77" s="290"/>
      <c r="S77" s="240">
        <f t="shared" si="53"/>
        <v>314.79452054794524</v>
      </c>
      <c r="T77" s="241">
        <v>0.05</v>
      </c>
      <c r="U77" s="240">
        <f t="shared" si="54"/>
        <v>15.739726027397262</v>
      </c>
    </row>
    <row r="78" spans="1:21" ht="15.75" x14ac:dyDescent="0.25">
      <c r="A78" s="231" t="str">
        <f t="shared" si="44"/>
        <v>Auxiliar Contador</v>
      </c>
      <c r="B78" s="295">
        <f t="shared" si="44"/>
        <v>3</v>
      </c>
      <c r="C78" s="233">
        <v>44226</v>
      </c>
      <c r="D78" s="296">
        <f t="shared" si="41"/>
        <v>300</v>
      </c>
      <c r="E78" s="296">
        <f t="shared" si="42"/>
        <v>315.61643835616434</v>
      </c>
      <c r="F78" s="296">
        <f t="shared" si="43"/>
        <v>4799.9894794520542</v>
      </c>
      <c r="G78" s="296">
        <f t="shared" si="45"/>
        <v>11.999973698630136</v>
      </c>
      <c r="H78" s="296">
        <f t="shared" si="46"/>
        <v>17.999960547945204</v>
      </c>
      <c r="I78" s="296">
        <v>0</v>
      </c>
      <c r="J78" s="296">
        <f t="shared" si="48"/>
        <v>29.999934246575339</v>
      </c>
      <c r="K78" s="296">
        <f t="shared" si="49"/>
        <v>53.999881643835607</v>
      </c>
      <c r="L78" s="238">
        <f t="shared" si="50"/>
        <v>113.99975013698628</v>
      </c>
      <c r="M78" s="290"/>
      <c r="N78" s="240">
        <f t="shared" si="51"/>
        <v>300</v>
      </c>
      <c r="O78" s="241">
        <v>0.03</v>
      </c>
      <c r="P78" s="240">
        <f t="shared" si="52"/>
        <v>9</v>
      </c>
      <c r="Q78" s="290"/>
      <c r="R78" s="290"/>
      <c r="S78" s="240">
        <f t="shared" si="53"/>
        <v>315.61643835616434</v>
      </c>
      <c r="T78" s="241">
        <v>0.05</v>
      </c>
      <c r="U78" s="240">
        <f t="shared" si="54"/>
        <v>15.780821917808218</v>
      </c>
    </row>
    <row r="79" spans="1:21" ht="15.75" x14ac:dyDescent="0.25">
      <c r="A79" s="231" t="str">
        <f t="shared" si="44"/>
        <v xml:space="preserve">Auxiliar de produccion </v>
      </c>
      <c r="B79" s="295">
        <f t="shared" si="44"/>
        <v>4</v>
      </c>
      <c r="C79" s="233">
        <v>45158</v>
      </c>
      <c r="D79" s="296">
        <f t="shared" si="41"/>
        <v>250</v>
      </c>
      <c r="E79" s="296">
        <f t="shared" si="42"/>
        <v>262.32876712328766</v>
      </c>
      <c r="F79" s="296">
        <f t="shared" si="43"/>
        <v>3989.5745890410958</v>
      </c>
      <c r="G79" s="296">
        <f t="shared" si="45"/>
        <v>9.9739364726027393</v>
      </c>
      <c r="H79" s="296">
        <f t="shared" si="46"/>
        <v>14.960904708904108</v>
      </c>
      <c r="I79" s="296">
        <v>0</v>
      </c>
      <c r="J79" s="296">
        <f t="shared" si="48"/>
        <v>24.934841181506851</v>
      </c>
      <c r="K79" s="296">
        <f t="shared" si="49"/>
        <v>44.88271412671233</v>
      </c>
      <c r="L79" s="238">
        <f t="shared" si="50"/>
        <v>94.752396489726024</v>
      </c>
      <c r="M79" s="290"/>
      <c r="N79" s="240">
        <f t="shared" si="51"/>
        <v>250</v>
      </c>
      <c r="O79" s="241">
        <v>0.03</v>
      </c>
      <c r="P79" s="240">
        <f t="shared" si="52"/>
        <v>7.5</v>
      </c>
      <c r="Q79" s="290"/>
      <c r="R79" s="290"/>
      <c r="S79" s="240">
        <f t="shared" si="53"/>
        <v>262.32876712328766</v>
      </c>
      <c r="T79" s="241">
        <v>0.05</v>
      </c>
      <c r="U79" s="240">
        <f t="shared" si="54"/>
        <v>13.116438356164384</v>
      </c>
    </row>
    <row r="80" spans="1:21" ht="15.75" x14ac:dyDescent="0.25">
      <c r="A80" s="231" t="str">
        <f t="shared" si="44"/>
        <v>Meseros</v>
      </c>
      <c r="B80" s="295">
        <f t="shared" si="44"/>
        <v>4</v>
      </c>
      <c r="C80" s="233">
        <v>45260</v>
      </c>
      <c r="D80" s="296">
        <f t="shared" si="41"/>
        <v>250</v>
      </c>
      <c r="E80" s="296">
        <f t="shared" si="42"/>
        <v>262.32876712328766</v>
      </c>
      <c r="F80" s="296">
        <f t="shared" si="43"/>
        <v>3989.5745890410958</v>
      </c>
      <c r="G80" s="296">
        <f t="shared" si="45"/>
        <v>9.9739364726027393</v>
      </c>
      <c r="H80" s="296">
        <f t="shared" si="46"/>
        <v>14.960904708904108</v>
      </c>
      <c r="I80" s="296">
        <v>0</v>
      </c>
      <c r="J80" s="296">
        <f t="shared" si="48"/>
        <v>24.934841181506851</v>
      </c>
      <c r="K80" s="296">
        <f t="shared" si="49"/>
        <v>44.88271412671233</v>
      </c>
      <c r="L80" s="238">
        <f t="shared" si="50"/>
        <v>94.752396489726024</v>
      </c>
      <c r="M80" s="290"/>
      <c r="N80" s="240">
        <f t="shared" si="51"/>
        <v>250</v>
      </c>
      <c r="O80" s="241">
        <v>0.03</v>
      </c>
      <c r="P80" s="240">
        <f t="shared" si="52"/>
        <v>7.5</v>
      </c>
      <c r="Q80" s="290"/>
      <c r="R80" s="290"/>
      <c r="S80" s="240">
        <f t="shared" si="53"/>
        <v>262.32876712328766</v>
      </c>
      <c r="T80" s="241">
        <v>0.05</v>
      </c>
      <c r="U80" s="240">
        <f t="shared" si="54"/>
        <v>13.116438356164384</v>
      </c>
    </row>
    <row r="81" spans="1:21" ht="15.75" x14ac:dyDescent="0.25">
      <c r="A81" s="231" t="str">
        <f t="shared" si="44"/>
        <v>Cocineros</v>
      </c>
      <c r="B81" s="295">
        <f t="shared" si="44"/>
        <v>4</v>
      </c>
      <c r="C81" s="233">
        <v>44862</v>
      </c>
      <c r="D81" s="296">
        <f t="shared" si="41"/>
        <v>250</v>
      </c>
      <c r="E81" s="296">
        <f t="shared" si="42"/>
        <v>262.67123287671234</v>
      </c>
      <c r="F81" s="296">
        <f t="shared" si="43"/>
        <v>3994.7829109589043</v>
      </c>
      <c r="G81" s="296">
        <f t="shared" si="45"/>
        <v>9.986957277397261</v>
      </c>
      <c r="H81" s="296">
        <f t="shared" si="46"/>
        <v>14.980435916095891</v>
      </c>
      <c r="I81" s="296">
        <v>0</v>
      </c>
      <c r="J81" s="296">
        <f t="shared" si="48"/>
        <v>24.967393193493152</v>
      </c>
      <c r="K81" s="296">
        <f t="shared" si="49"/>
        <v>44.94130774828767</v>
      </c>
      <c r="L81" s="238">
        <f t="shared" si="50"/>
        <v>94.876094135273974</v>
      </c>
      <c r="M81" s="290"/>
      <c r="N81" s="240">
        <f t="shared" si="51"/>
        <v>250</v>
      </c>
      <c r="O81" s="241">
        <v>0.03</v>
      </c>
      <c r="P81" s="240">
        <f t="shared" si="52"/>
        <v>7.5</v>
      </c>
      <c r="Q81" s="290"/>
      <c r="R81" s="290"/>
      <c r="S81" s="240">
        <f t="shared" si="53"/>
        <v>262.67123287671234</v>
      </c>
      <c r="T81" s="241">
        <v>0.05</v>
      </c>
      <c r="U81" s="240">
        <f t="shared" si="54"/>
        <v>13.133561643835618</v>
      </c>
    </row>
    <row r="82" spans="1:21" ht="15.75" x14ac:dyDescent="0.25">
      <c r="A82" s="231" t="str">
        <f t="shared" si="44"/>
        <v>Auxiliar de limpieza</v>
      </c>
      <c r="B82" s="295">
        <f t="shared" si="44"/>
        <v>5</v>
      </c>
      <c r="C82" s="233">
        <v>45158</v>
      </c>
      <c r="D82" s="296">
        <f t="shared" si="41"/>
        <v>248.93</v>
      </c>
      <c r="E82" s="296">
        <f t="shared" si="42"/>
        <v>261.20600000000002</v>
      </c>
      <c r="F82" s="296">
        <f t="shared" si="43"/>
        <v>3972.4992098000002</v>
      </c>
      <c r="G82" s="296">
        <f t="shared" si="45"/>
        <v>9.9312480245000003</v>
      </c>
      <c r="H82" s="296">
        <f t="shared" si="46"/>
        <v>14.89687203675</v>
      </c>
      <c r="I82" s="296">
        <v>0</v>
      </c>
      <c r="J82" s="296">
        <f t="shared" si="48"/>
        <v>24.828120061250004</v>
      </c>
      <c r="K82" s="296">
        <f t="shared" si="49"/>
        <v>44.690616110249998</v>
      </c>
      <c r="L82" s="238">
        <f t="shared" si="50"/>
        <v>94.346856232750014</v>
      </c>
      <c r="M82" s="290"/>
      <c r="N82" s="240">
        <f t="shared" si="51"/>
        <v>248.93</v>
      </c>
      <c r="O82" s="241">
        <v>0.03</v>
      </c>
      <c r="P82" s="240">
        <f t="shared" si="52"/>
        <v>7.4679000000000002</v>
      </c>
      <c r="Q82" s="290"/>
      <c r="R82" s="290"/>
      <c r="S82" s="240">
        <f t="shared" si="53"/>
        <v>261.20600000000002</v>
      </c>
      <c r="T82" s="241">
        <v>0.05</v>
      </c>
      <c r="U82" s="240">
        <f t="shared" si="54"/>
        <v>13.060300000000002</v>
      </c>
    </row>
    <row r="83" spans="1:21" x14ac:dyDescent="0.25">
      <c r="A83" s="290"/>
      <c r="B83" s="295"/>
      <c r="C83" s="295"/>
      <c r="D83" s="295"/>
      <c r="E83" s="295"/>
      <c r="F83" s="295"/>
      <c r="G83" s="238">
        <f t="shared" ref="G83:L83" si="55">SUM(G68:G82)</f>
        <v>224.05508426650911</v>
      </c>
      <c r="H83" s="238">
        <f t="shared" si="55"/>
        <v>336.08262639976357</v>
      </c>
      <c r="I83" s="238">
        <f t="shared" si="55"/>
        <v>78.026659537844736</v>
      </c>
      <c r="J83" s="238">
        <f t="shared" si="55"/>
        <v>560.13771066627271</v>
      </c>
      <c r="K83" s="238">
        <f t="shared" si="55"/>
        <v>1008.2478791992908</v>
      </c>
      <c r="L83" s="238">
        <f t="shared" si="55"/>
        <v>2206.5499600696808</v>
      </c>
      <c r="M83" s="290"/>
      <c r="N83" s="290"/>
      <c r="O83" s="290"/>
      <c r="P83" s="290"/>
      <c r="Q83" s="290"/>
      <c r="R83" s="290"/>
      <c r="S83" s="290"/>
      <c r="T83" s="292"/>
      <c r="U83" s="291"/>
    </row>
    <row r="84" spans="1:21" ht="18.75" x14ac:dyDescent="0.3">
      <c r="A84" s="230" t="s">
        <v>396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</row>
    <row r="85" spans="1:21" x14ac:dyDescent="0.25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42" t="s">
        <v>397</v>
      </c>
      <c r="P85" s="242"/>
      <c r="Q85" s="242"/>
      <c r="R85" s="242"/>
      <c r="S85" s="290"/>
      <c r="T85" s="290"/>
      <c r="U85" s="290"/>
    </row>
    <row r="86" spans="1:21" x14ac:dyDescent="0.25">
      <c r="A86" s="231" t="str">
        <f>A27</f>
        <v>Puesto</v>
      </c>
      <c r="B86" s="231" t="str">
        <f>B27</f>
        <v>Nivel</v>
      </c>
      <c r="C86" s="231" t="str">
        <f>C27</f>
        <v>Fecha de ingreso</v>
      </c>
      <c r="D86" s="231" t="str">
        <f t="shared" ref="D86:E101" si="56">E27</f>
        <v>Salario Base</v>
      </c>
      <c r="E86" s="231" t="str">
        <f t="shared" si="56"/>
        <v>Salario Quincenal</v>
      </c>
      <c r="F86" s="231" t="s">
        <v>398</v>
      </c>
      <c r="G86" s="231" t="s">
        <v>399</v>
      </c>
      <c r="H86" s="231" t="s">
        <v>400</v>
      </c>
      <c r="I86" s="231" t="s">
        <v>401</v>
      </c>
      <c r="J86" s="231" t="s">
        <v>358</v>
      </c>
      <c r="K86" s="231" t="s">
        <v>402</v>
      </c>
      <c r="L86" s="231" t="s">
        <v>403</v>
      </c>
      <c r="M86" s="231" t="s">
        <v>404</v>
      </c>
      <c r="N86" s="290"/>
      <c r="O86" s="243" t="s">
        <v>398</v>
      </c>
      <c r="P86" s="243" t="s">
        <v>405</v>
      </c>
      <c r="Q86" s="243" t="s">
        <v>385</v>
      </c>
      <c r="R86" s="243" t="s">
        <v>406</v>
      </c>
      <c r="S86" s="290"/>
      <c r="T86" s="290"/>
      <c r="U86" s="290"/>
    </row>
    <row r="87" spans="1:21" x14ac:dyDescent="0.25">
      <c r="A87" s="231" t="str">
        <f t="shared" ref="A87:B101" si="57">A28</f>
        <v>Gerente general</v>
      </c>
      <c r="B87" s="295">
        <f t="shared" si="57"/>
        <v>1</v>
      </c>
      <c r="C87" s="233">
        <v>43160</v>
      </c>
      <c r="D87" s="296">
        <f t="shared" si="56"/>
        <v>550</v>
      </c>
      <c r="E87" s="296">
        <f t="shared" si="56"/>
        <v>8364.5650000000005</v>
      </c>
      <c r="F87" s="296">
        <f>O92</f>
        <v>7641.91</v>
      </c>
      <c r="G87" s="296">
        <f t="shared" ref="G87:G101" si="58">E87-F87</f>
        <v>722.65500000000065</v>
      </c>
      <c r="H87" s="306">
        <f>R92</f>
        <v>0.21360000000000001</v>
      </c>
      <c r="I87" s="296">
        <f t="shared" ref="I87:I101" si="59">G87*H87</f>
        <v>154.35910800000016</v>
      </c>
      <c r="J87" s="296">
        <f>Q92</f>
        <v>809.25</v>
      </c>
      <c r="K87" s="296">
        <f t="shared" ref="K87:K101" si="60">I87+J87</f>
        <v>963.60910800000011</v>
      </c>
      <c r="L87" s="296">
        <v>0</v>
      </c>
      <c r="M87" s="296">
        <f t="shared" ref="M87:M101" si="61">K87-L87</f>
        <v>963.60910800000011</v>
      </c>
      <c r="N87" s="290"/>
      <c r="O87" s="307">
        <v>0.01</v>
      </c>
      <c r="P87" s="307">
        <v>368.1</v>
      </c>
      <c r="Q87" s="307">
        <v>0</v>
      </c>
      <c r="R87" s="308">
        <v>1.9199999999999998E-2</v>
      </c>
      <c r="S87" s="290"/>
      <c r="T87" s="290"/>
      <c r="U87" s="290"/>
    </row>
    <row r="88" spans="1:21" x14ac:dyDescent="0.25">
      <c r="A88" s="231" t="str">
        <f t="shared" si="57"/>
        <v>Gerente de restaurante</v>
      </c>
      <c r="B88" s="295">
        <f t="shared" si="57"/>
        <v>2</v>
      </c>
      <c r="C88" s="233">
        <v>44274</v>
      </c>
      <c r="D88" s="296">
        <f t="shared" si="56"/>
        <v>500</v>
      </c>
      <c r="E88" s="296">
        <f t="shared" si="56"/>
        <v>7604.15</v>
      </c>
      <c r="F88" s="296">
        <f>O92</f>
        <v>7641.91</v>
      </c>
      <c r="G88" s="296">
        <f t="shared" si="58"/>
        <v>-37.760000000000218</v>
      </c>
      <c r="H88" s="306">
        <f>R92</f>
        <v>0.21360000000000001</v>
      </c>
      <c r="I88" s="296">
        <f t="shared" si="59"/>
        <v>-8.0655360000000478</v>
      </c>
      <c r="J88" s="296">
        <f>Q92</f>
        <v>809.25</v>
      </c>
      <c r="K88" s="296">
        <f t="shared" si="60"/>
        <v>801.18446399999993</v>
      </c>
      <c r="L88" s="296">
        <v>0</v>
      </c>
      <c r="M88" s="296">
        <f t="shared" si="61"/>
        <v>801.18446399999993</v>
      </c>
      <c r="N88" s="290"/>
      <c r="O88" s="307">
        <v>368.11</v>
      </c>
      <c r="P88" s="307">
        <v>3124.35</v>
      </c>
      <c r="Q88" s="307">
        <v>7.05</v>
      </c>
      <c r="R88" s="308">
        <v>6.4000000000000001E-2</v>
      </c>
      <c r="S88" s="290"/>
      <c r="T88" s="290"/>
      <c r="U88" s="290"/>
    </row>
    <row r="89" spans="1:21" x14ac:dyDescent="0.25">
      <c r="A89" s="231" t="str">
        <f t="shared" si="57"/>
        <v>Gerente de producción</v>
      </c>
      <c r="B89" s="295">
        <f t="shared" si="57"/>
        <v>2</v>
      </c>
      <c r="C89" s="233">
        <v>44862</v>
      </c>
      <c r="D89" s="296">
        <f t="shared" si="56"/>
        <v>520</v>
      </c>
      <c r="E89" s="296">
        <f t="shared" si="56"/>
        <v>7908.3159999999998</v>
      </c>
      <c r="F89" s="296">
        <f>O92</f>
        <v>7641.91</v>
      </c>
      <c r="G89" s="296">
        <f t="shared" si="58"/>
        <v>266.40599999999995</v>
      </c>
      <c r="H89" s="306">
        <f>R92</f>
        <v>0.21360000000000001</v>
      </c>
      <c r="I89" s="296">
        <f t="shared" si="59"/>
        <v>56.904321599999996</v>
      </c>
      <c r="J89" s="296">
        <f>Q92</f>
        <v>809.25</v>
      </c>
      <c r="K89" s="296">
        <f t="shared" si="60"/>
        <v>866.1543216</v>
      </c>
      <c r="L89" s="296">
        <v>0</v>
      </c>
      <c r="M89" s="296">
        <f t="shared" si="61"/>
        <v>866.1543216</v>
      </c>
      <c r="N89" s="290"/>
      <c r="O89" s="307">
        <v>3124.36</v>
      </c>
      <c r="P89" s="307">
        <v>5490.75</v>
      </c>
      <c r="Q89" s="307">
        <v>183.45</v>
      </c>
      <c r="R89" s="308">
        <v>0.10879999999999999</v>
      </c>
      <c r="S89" s="290"/>
      <c r="T89" s="290"/>
      <c r="U89" s="290"/>
    </row>
    <row r="90" spans="1:21" x14ac:dyDescent="0.25">
      <c r="A90" s="231" t="str">
        <f t="shared" si="57"/>
        <v>Gerente de ventas</v>
      </c>
      <c r="B90" s="295">
        <f t="shared" si="57"/>
        <v>2</v>
      </c>
      <c r="C90" s="233">
        <v>45260</v>
      </c>
      <c r="D90" s="296">
        <f t="shared" si="56"/>
        <v>520</v>
      </c>
      <c r="E90" s="296">
        <f t="shared" si="56"/>
        <v>7908.3159999999998</v>
      </c>
      <c r="F90" s="296">
        <f>O92</f>
        <v>7641.91</v>
      </c>
      <c r="G90" s="296">
        <f t="shared" si="58"/>
        <v>266.40599999999995</v>
      </c>
      <c r="H90" s="306">
        <f>R92</f>
        <v>0.21360000000000001</v>
      </c>
      <c r="I90" s="296">
        <f t="shared" si="59"/>
        <v>56.904321599999996</v>
      </c>
      <c r="J90" s="296">
        <f>Q92</f>
        <v>809.25</v>
      </c>
      <c r="K90" s="296">
        <f t="shared" si="60"/>
        <v>866.1543216</v>
      </c>
      <c r="L90" s="296">
        <v>0</v>
      </c>
      <c r="M90" s="296">
        <f t="shared" si="61"/>
        <v>866.1543216</v>
      </c>
      <c r="N90" s="290"/>
      <c r="O90" s="307">
        <v>5490.76</v>
      </c>
      <c r="P90" s="307">
        <v>6382.8</v>
      </c>
      <c r="Q90" s="307">
        <v>441</v>
      </c>
      <c r="R90" s="308">
        <v>0.16</v>
      </c>
      <c r="S90" s="290"/>
      <c r="T90" s="290"/>
      <c r="U90" s="290"/>
    </row>
    <row r="91" spans="1:21" x14ac:dyDescent="0.25">
      <c r="A91" s="231" t="str">
        <f t="shared" si="57"/>
        <v>Gerente de finanzas</v>
      </c>
      <c r="B91" s="295">
        <f t="shared" si="57"/>
        <v>2</v>
      </c>
      <c r="C91" s="233">
        <v>45061</v>
      </c>
      <c r="D91" s="296">
        <f t="shared" si="56"/>
        <v>400</v>
      </c>
      <c r="E91" s="296">
        <f t="shared" si="56"/>
        <v>6083.32</v>
      </c>
      <c r="F91" s="296">
        <f>O90</f>
        <v>5490.76</v>
      </c>
      <c r="G91" s="296">
        <f t="shared" si="58"/>
        <v>592.55999999999949</v>
      </c>
      <c r="H91" s="306">
        <f>R90</f>
        <v>0.16</v>
      </c>
      <c r="I91" s="296">
        <f t="shared" si="59"/>
        <v>94.809599999999918</v>
      </c>
      <c r="J91" s="296">
        <f>Q90</f>
        <v>441</v>
      </c>
      <c r="K91" s="296">
        <f t="shared" si="60"/>
        <v>535.80959999999993</v>
      </c>
      <c r="L91" s="296">
        <v>0</v>
      </c>
      <c r="M91" s="296">
        <f t="shared" si="61"/>
        <v>535.80959999999993</v>
      </c>
      <c r="N91" s="290"/>
      <c r="O91" s="307">
        <v>6382.81</v>
      </c>
      <c r="P91" s="307">
        <v>7641.9</v>
      </c>
      <c r="Q91" s="307">
        <v>583.65</v>
      </c>
      <c r="R91" s="308">
        <v>0.1792</v>
      </c>
      <c r="S91" s="290"/>
      <c r="T91" s="290"/>
      <c r="U91" s="290"/>
    </row>
    <row r="92" spans="1:21" x14ac:dyDescent="0.25">
      <c r="A92" s="231" t="str">
        <f t="shared" si="57"/>
        <v>Encargado de mantenimiento</v>
      </c>
      <c r="B92" s="295">
        <f t="shared" si="57"/>
        <v>3</v>
      </c>
      <c r="C92" s="233">
        <v>44315</v>
      </c>
      <c r="D92" s="296">
        <f t="shared" si="56"/>
        <v>380</v>
      </c>
      <c r="E92" s="296">
        <f t="shared" si="56"/>
        <v>5779.1539999999995</v>
      </c>
      <c r="F92" s="296">
        <f>O90</f>
        <v>5490.76</v>
      </c>
      <c r="G92" s="296">
        <f t="shared" si="58"/>
        <v>288.39399999999932</v>
      </c>
      <c r="H92" s="306">
        <f>R90</f>
        <v>0.16</v>
      </c>
      <c r="I92" s="296">
        <f t="shared" si="59"/>
        <v>46.143039999999893</v>
      </c>
      <c r="J92" s="296">
        <f>Q90</f>
        <v>441</v>
      </c>
      <c r="K92" s="296">
        <f t="shared" si="60"/>
        <v>487.14303999999987</v>
      </c>
      <c r="L92" s="296">
        <v>0</v>
      </c>
      <c r="M92" s="296">
        <f t="shared" si="61"/>
        <v>487.14303999999987</v>
      </c>
      <c r="N92" s="290"/>
      <c r="O92" s="309">
        <v>7641.91</v>
      </c>
      <c r="P92" s="309">
        <v>15412.8</v>
      </c>
      <c r="Q92" s="309">
        <v>809.25</v>
      </c>
      <c r="R92" s="310">
        <v>0.21360000000000001</v>
      </c>
      <c r="S92" s="290"/>
      <c r="T92" s="290"/>
      <c r="U92" s="290"/>
    </row>
    <row r="93" spans="1:21" x14ac:dyDescent="0.25">
      <c r="A93" s="231" t="str">
        <f t="shared" si="57"/>
        <v>Encargado de almacen</v>
      </c>
      <c r="B93" s="295">
        <f t="shared" si="57"/>
        <v>3</v>
      </c>
      <c r="C93" s="233">
        <v>44239</v>
      </c>
      <c r="D93" s="296">
        <f t="shared" si="56"/>
        <v>380</v>
      </c>
      <c r="E93" s="296">
        <f t="shared" si="56"/>
        <v>5779.1539999999995</v>
      </c>
      <c r="F93" s="296">
        <f>O90</f>
        <v>5490.76</v>
      </c>
      <c r="G93" s="296">
        <f t="shared" si="58"/>
        <v>288.39399999999932</v>
      </c>
      <c r="H93" s="306">
        <f>R90</f>
        <v>0.16</v>
      </c>
      <c r="I93" s="296">
        <f t="shared" si="59"/>
        <v>46.143039999999893</v>
      </c>
      <c r="J93" s="296">
        <f>Q90</f>
        <v>441</v>
      </c>
      <c r="K93" s="296">
        <f t="shared" si="60"/>
        <v>487.14303999999987</v>
      </c>
      <c r="L93" s="296">
        <v>0</v>
      </c>
      <c r="M93" s="296">
        <f t="shared" si="61"/>
        <v>487.14303999999987</v>
      </c>
      <c r="N93" s="290"/>
      <c r="O93" s="290"/>
      <c r="P93" s="290"/>
      <c r="Q93" s="290"/>
      <c r="R93" s="290"/>
      <c r="S93" s="290"/>
      <c r="T93" s="290"/>
      <c r="U93" s="290"/>
    </row>
    <row r="94" spans="1:21" x14ac:dyDescent="0.25">
      <c r="A94" s="231" t="str">
        <f t="shared" si="57"/>
        <v>Jefe de cocina</v>
      </c>
      <c r="B94" s="295">
        <f t="shared" si="57"/>
        <v>3</v>
      </c>
      <c r="C94" s="233">
        <v>44247</v>
      </c>
      <c r="D94" s="296">
        <f t="shared" si="56"/>
        <v>380</v>
      </c>
      <c r="E94" s="296">
        <f t="shared" si="56"/>
        <v>5779.1539999999995</v>
      </c>
      <c r="F94" s="296">
        <f>O90</f>
        <v>5490.76</v>
      </c>
      <c r="G94" s="296">
        <f t="shared" si="58"/>
        <v>288.39399999999932</v>
      </c>
      <c r="H94" s="306">
        <f>R90</f>
        <v>0.16</v>
      </c>
      <c r="I94" s="296">
        <f t="shared" si="59"/>
        <v>46.143039999999893</v>
      </c>
      <c r="J94" s="296">
        <f>Q90</f>
        <v>441</v>
      </c>
      <c r="K94" s="296">
        <f t="shared" si="60"/>
        <v>487.14303999999987</v>
      </c>
      <c r="L94" s="296">
        <v>0</v>
      </c>
      <c r="M94" s="296">
        <f t="shared" si="61"/>
        <v>487.14303999999987</v>
      </c>
      <c r="N94" s="290"/>
      <c r="O94" s="244" t="s">
        <v>407</v>
      </c>
      <c r="P94" s="244"/>
      <c r="Q94" s="290"/>
      <c r="R94" s="290"/>
      <c r="S94" s="290"/>
      <c r="T94" s="290"/>
      <c r="U94" s="290"/>
    </row>
    <row r="95" spans="1:21" x14ac:dyDescent="0.25">
      <c r="A95" s="231" t="str">
        <f t="shared" si="57"/>
        <v>Relaciones públicas</v>
      </c>
      <c r="B95" s="295">
        <f t="shared" si="57"/>
        <v>3</v>
      </c>
      <c r="C95" s="233">
        <v>43855</v>
      </c>
      <c r="D95" s="296">
        <f t="shared" si="56"/>
        <v>376.66666666666669</v>
      </c>
      <c r="E95" s="296">
        <f t="shared" si="56"/>
        <v>5728.4596666666666</v>
      </c>
      <c r="F95" s="296">
        <f>O90</f>
        <v>5490.76</v>
      </c>
      <c r="G95" s="296">
        <f t="shared" si="58"/>
        <v>237.69966666666642</v>
      </c>
      <c r="H95" s="306">
        <f>R90</f>
        <v>0.16</v>
      </c>
      <c r="I95" s="296">
        <f t="shared" si="59"/>
        <v>38.031946666666627</v>
      </c>
      <c r="J95" s="296">
        <f>Q90</f>
        <v>441</v>
      </c>
      <c r="K95" s="296">
        <f t="shared" si="60"/>
        <v>479.03194666666661</v>
      </c>
      <c r="L95" s="296">
        <v>0</v>
      </c>
      <c r="M95" s="296">
        <f t="shared" si="61"/>
        <v>479.03194666666661</v>
      </c>
      <c r="N95" s="290"/>
      <c r="O95" s="298" t="s">
        <v>341</v>
      </c>
      <c r="P95" s="311">
        <v>108.57</v>
      </c>
      <c r="Q95" s="290"/>
      <c r="R95" s="290"/>
      <c r="S95" s="290"/>
      <c r="T95" s="290"/>
      <c r="U95" s="290"/>
    </row>
    <row r="96" spans="1:21" x14ac:dyDescent="0.25">
      <c r="A96" s="231" t="str">
        <f t="shared" si="57"/>
        <v>Maestro cervecero</v>
      </c>
      <c r="B96" s="295">
        <f t="shared" si="57"/>
        <v>3</v>
      </c>
      <c r="C96" s="233">
        <v>45029</v>
      </c>
      <c r="D96" s="296">
        <f t="shared" si="56"/>
        <v>300</v>
      </c>
      <c r="E96" s="296">
        <f t="shared" si="56"/>
        <v>4562.49</v>
      </c>
      <c r="F96" s="296">
        <f>O89</f>
        <v>3124.36</v>
      </c>
      <c r="G96" s="296">
        <f t="shared" si="58"/>
        <v>1438.1299999999997</v>
      </c>
      <c r="H96" s="306">
        <f>R89</f>
        <v>0.10879999999999999</v>
      </c>
      <c r="I96" s="296">
        <f t="shared" si="59"/>
        <v>156.46854399999995</v>
      </c>
      <c r="J96" s="296">
        <f>Q89</f>
        <v>183.45</v>
      </c>
      <c r="K96" s="296">
        <f t="shared" si="60"/>
        <v>339.91854399999994</v>
      </c>
      <c r="L96" s="296">
        <f t="shared" ref="L96:L101" si="62">P$97*15</f>
        <v>192.49460999999997</v>
      </c>
      <c r="M96" s="296">
        <f t="shared" si="61"/>
        <v>147.42393399999997</v>
      </c>
      <c r="N96" s="290"/>
      <c r="O96" s="299" t="s">
        <v>408</v>
      </c>
      <c r="P96" s="312">
        <v>0.1182</v>
      </c>
      <c r="Q96" s="290"/>
      <c r="R96" s="290"/>
      <c r="S96" s="290"/>
      <c r="T96" s="290"/>
      <c r="U96" s="290"/>
    </row>
    <row r="97" spans="1:16" x14ac:dyDescent="0.25">
      <c r="A97" s="231" t="str">
        <f t="shared" si="57"/>
        <v>Auxiliar Contador</v>
      </c>
      <c r="B97" s="295">
        <f t="shared" si="57"/>
        <v>3</v>
      </c>
      <c r="C97" s="233">
        <v>44226</v>
      </c>
      <c r="D97" s="296">
        <f t="shared" si="56"/>
        <v>300</v>
      </c>
      <c r="E97" s="296">
        <f t="shared" si="56"/>
        <v>4562.49</v>
      </c>
      <c r="F97" s="296">
        <f>O89</f>
        <v>3124.36</v>
      </c>
      <c r="G97" s="296">
        <f t="shared" si="58"/>
        <v>1438.1299999999997</v>
      </c>
      <c r="H97" s="306">
        <f>R89</f>
        <v>0.10879999999999999</v>
      </c>
      <c r="I97" s="296">
        <f t="shared" si="59"/>
        <v>156.46854399999995</v>
      </c>
      <c r="J97" s="296">
        <f>Q89</f>
        <v>183.45</v>
      </c>
      <c r="K97" s="296">
        <f t="shared" si="60"/>
        <v>339.91854399999994</v>
      </c>
      <c r="L97" s="296">
        <f t="shared" si="62"/>
        <v>192.49460999999997</v>
      </c>
      <c r="M97" s="296">
        <f t="shared" si="61"/>
        <v>147.42393399999997</v>
      </c>
      <c r="N97" s="290"/>
      <c r="O97" s="299" t="s">
        <v>409</v>
      </c>
      <c r="P97" s="312">
        <v>12.832973999999998</v>
      </c>
    </row>
    <row r="98" spans="1:16" x14ac:dyDescent="0.25">
      <c r="A98" s="231" t="str">
        <f t="shared" si="57"/>
        <v xml:space="preserve">Auxiliar de produccion </v>
      </c>
      <c r="B98" s="295">
        <f t="shared" si="57"/>
        <v>4</v>
      </c>
      <c r="C98" s="233">
        <v>45158</v>
      </c>
      <c r="D98" s="296">
        <f t="shared" si="56"/>
        <v>250</v>
      </c>
      <c r="E98" s="296">
        <f t="shared" si="56"/>
        <v>3802.0749999999998</v>
      </c>
      <c r="F98" s="296">
        <f>O89</f>
        <v>3124.36</v>
      </c>
      <c r="G98" s="296">
        <f t="shared" si="58"/>
        <v>677.71499999999969</v>
      </c>
      <c r="H98" s="306">
        <f>R89</f>
        <v>0.10879999999999999</v>
      </c>
      <c r="I98" s="296">
        <f t="shared" si="59"/>
        <v>73.735391999999962</v>
      </c>
      <c r="J98" s="296">
        <f>Q89</f>
        <v>183.45</v>
      </c>
      <c r="K98" s="296">
        <f t="shared" si="60"/>
        <v>257.18539199999998</v>
      </c>
      <c r="L98" s="296">
        <f t="shared" si="62"/>
        <v>192.49460999999997</v>
      </c>
      <c r="M98" s="296">
        <f t="shared" si="61"/>
        <v>64.690782000000013</v>
      </c>
      <c r="N98" s="290"/>
      <c r="O98" s="300" t="s">
        <v>410</v>
      </c>
      <c r="P98" s="313">
        <v>390.12240959999991</v>
      </c>
    </row>
    <row r="99" spans="1:16" x14ac:dyDescent="0.25">
      <c r="A99" s="231" t="str">
        <f t="shared" si="57"/>
        <v>Meseros</v>
      </c>
      <c r="B99" s="295">
        <f t="shared" si="57"/>
        <v>4</v>
      </c>
      <c r="C99" s="233">
        <v>45260</v>
      </c>
      <c r="D99" s="296">
        <f t="shared" si="56"/>
        <v>250</v>
      </c>
      <c r="E99" s="296">
        <f t="shared" si="56"/>
        <v>3802.0749999999998</v>
      </c>
      <c r="F99" s="296">
        <f>O89</f>
        <v>3124.36</v>
      </c>
      <c r="G99" s="296">
        <f t="shared" si="58"/>
        <v>677.71499999999969</v>
      </c>
      <c r="H99" s="306">
        <f>R89</f>
        <v>0.10879999999999999</v>
      </c>
      <c r="I99" s="296">
        <f t="shared" si="59"/>
        <v>73.735391999999962</v>
      </c>
      <c r="J99" s="296">
        <f>Q89</f>
        <v>183.45</v>
      </c>
      <c r="K99" s="296">
        <f t="shared" si="60"/>
        <v>257.18539199999998</v>
      </c>
      <c r="L99" s="296">
        <f t="shared" si="62"/>
        <v>192.49460999999997</v>
      </c>
      <c r="M99" s="296">
        <f t="shared" si="61"/>
        <v>64.690782000000013</v>
      </c>
      <c r="N99" s="290"/>
      <c r="O99" s="290"/>
      <c r="P99" s="290"/>
    </row>
    <row r="100" spans="1:16" x14ac:dyDescent="0.25">
      <c r="A100" s="231" t="str">
        <f t="shared" si="57"/>
        <v>Cocineros</v>
      </c>
      <c r="B100" s="295">
        <f t="shared" si="57"/>
        <v>4</v>
      </c>
      <c r="C100" s="233">
        <v>44862</v>
      </c>
      <c r="D100" s="296">
        <f t="shared" si="56"/>
        <v>250</v>
      </c>
      <c r="E100" s="296">
        <f t="shared" si="56"/>
        <v>3802.0749999999998</v>
      </c>
      <c r="F100" s="296">
        <f>O89</f>
        <v>3124.36</v>
      </c>
      <c r="G100" s="296">
        <f t="shared" si="58"/>
        <v>677.71499999999969</v>
      </c>
      <c r="H100" s="306">
        <f>R89</f>
        <v>0.10879999999999999</v>
      </c>
      <c r="I100" s="296">
        <f t="shared" si="59"/>
        <v>73.735391999999962</v>
      </c>
      <c r="J100" s="296">
        <f>Q89</f>
        <v>183.45</v>
      </c>
      <c r="K100" s="296">
        <f t="shared" si="60"/>
        <v>257.18539199999998</v>
      </c>
      <c r="L100" s="296">
        <f t="shared" si="62"/>
        <v>192.49460999999997</v>
      </c>
      <c r="M100" s="296">
        <f t="shared" si="61"/>
        <v>64.690782000000013</v>
      </c>
      <c r="N100" s="290"/>
      <c r="O100" s="290"/>
      <c r="P100" s="290"/>
    </row>
    <row r="101" spans="1:16" x14ac:dyDescent="0.25">
      <c r="A101" s="231" t="str">
        <f t="shared" si="57"/>
        <v>Auxiliar de limpieza</v>
      </c>
      <c r="B101" s="295">
        <f t="shared" si="57"/>
        <v>5</v>
      </c>
      <c r="C101" s="233">
        <v>45158</v>
      </c>
      <c r="D101" s="296">
        <f t="shared" si="56"/>
        <v>248.93</v>
      </c>
      <c r="E101" s="296">
        <f t="shared" si="56"/>
        <v>3785.8021189999999</v>
      </c>
      <c r="F101" s="296">
        <f>O89</f>
        <v>3124.36</v>
      </c>
      <c r="G101" s="296">
        <f t="shared" si="58"/>
        <v>661.44211899999982</v>
      </c>
      <c r="H101" s="306">
        <f>R89</f>
        <v>0.10879999999999999</v>
      </c>
      <c r="I101" s="296">
        <f t="shared" si="59"/>
        <v>71.964902547199983</v>
      </c>
      <c r="J101" s="296">
        <f>Q89</f>
        <v>183.45</v>
      </c>
      <c r="K101" s="296">
        <f t="shared" si="60"/>
        <v>255.41490254719997</v>
      </c>
      <c r="L101" s="296">
        <f t="shared" si="62"/>
        <v>192.49460999999997</v>
      </c>
      <c r="M101" s="296">
        <f t="shared" si="61"/>
        <v>62.920292547200006</v>
      </c>
      <c r="N101" s="290"/>
      <c r="O101" s="290"/>
      <c r="P101" s="290"/>
    </row>
  </sheetData>
  <mergeCells count="3">
    <mergeCell ref="T28:U28"/>
    <mergeCell ref="T39:U39"/>
    <mergeCell ref="T42:U4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a5d7f9-16e2-4452-97de-a884009e254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936E39D6029A4FAFDADC1027349C0E" ma:contentTypeVersion="7" ma:contentTypeDescription="Crear nuevo documento." ma:contentTypeScope="" ma:versionID="97d363a8ce9259b9fb5f410c7fbe84b4">
  <xsd:schema xmlns:xsd="http://www.w3.org/2001/XMLSchema" xmlns:xs="http://www.w3.org/2001/XMLSchema" xmlns:p="http://schemas.microsoft.com/office/2006/metadata/properties" xmlns:ns3="58a5d7f9-16e2-4452-97de-a884009e254d" targetNamespace="http://schemas.microsoft.com/office/2006/metadata/properties" ma:root="true" ma:fieldsID="f55d970aa82e36a30664d0d56de91720" ns3:_="">
    <xsd:import namespace="58a5d7f9-16e2-4452-97de-a884009e25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a5d7f9-16e2-4452-97de-a884009e25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B012AA-51C2-48CF-BCED-C60C03E414D4}">
  <ds:schemaRefs>
    <ds:schemaRef ds:uri="http://schemas.microsoft.com/office/2006/metadata/properties"/>
    <ds:schemaRef ds:uri="http://schemas.microsoft.com/office/infopath/2007/PartnerControls"/>
    <ds:schemaRef ds:uri="58a5d7f9-16e2-4452-97de-a884009e254d"/>
  </ds:schemaRefs>
</ds:datastoreItem>
</file>

<file path=customXml/itemProps2.xml><?xml version="1.0" encoding="utf-8"?>
<ds:datastoreItem xmlns:ds="http://schemas.openxmlformats.org/officeDocument/2006/customXml" ds:itemID="{0F156770-301C-4A5E-9515-C9F6E353A1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F20DD8-F572-4CF0-ABC1-F2B11782DD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a5d7f9-16e2-4452-97de-a884009e25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DATOS</vt:lpstr>
      <vt:lpstr>CRONOGRAMA DE ACTIVIDADES</vt:lpstr>
      <vt:lpstr>ESTRUCTURA FINANCIERA</vt:lpstr>
      <vt:lpstr>CUADRO DE EGRESOS E INGRESOS</vt:lpstr>
      <vt:lpstr>COSTOS</vt:lpstr>
      <vt:lpstr>M. DE CALCULO DE GASTOS FIJOS</vt:lpstr>
      <vt:lpstr>M. DE CALCULO DE COSTOS VARIABL</vt:lpstr>
      <vt:lpstr>DEPRECIACIONES</vt:lpstr>
      <vt:lpstr>AMORTIZACIONES (4 AÑOS)</vt:lpstr>
      <vt:lpstr>PROYECCIONES EGRESOS E INGRESOS</vt:lpstr>
      <vt:lpstr>SENSIBILIDAD</vt:lpstr>
      <vt:lpstr>INGRESOS</vt:lpstr>
      <vt:lpstr>TIR - VAN</vt:lpstr>
      <vt:lpstr>Balanza Proforma</vt:lpstr>
      <vt:lpstr>Estados Financieros proyectados</vt:lpstr>
      <vt:lpstr>Estados Financieros </vt:lpstr>
      <vt:lpstr>CONCENTRADO DE SUELDOS</vt:lpstr>
    </vt:vector>
  </TitlesOfParts>
  <Manager/>
  <Company>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Peachy Abby</cp:lastModifiedBy>
  <cp:revision/>
  <dcterms:created xsi:type="dcterms:W3CDTF">2007-09-29T15:21:41Z</dcterms:created>
  <dcterms:modified xsi:type="dcterms:W3CDTF">2025-12-17T05:39:34Z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B6444D575A094E91829C34E5C895C942_12</vt:lpwstr>
  </property>
  <property fmtid="{D5CDD505-2E9C-101B-9397-08002B2CF9AE}" pid="3" name="KSOProductBuildVer">
    <vt:lpwstr>2058-12.2.0.23131</vt:lpwstr>
  </property>
  <property fmtid="{D5CDD505-2E9C-101B-9397-08002B2CF9AE}" pid="4" name="ContentTypeId">
    <vt:lpwstr>0x010100EE936E39D6029A4FAFDADC1027349C0E</vt:lpwstr>
  </property>
</Properties>
</file>